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urhamuniversity.sharepoint.com/teams/DUHeartMech/Shared Documents/Electrical/2025-2026/Motor/"/>
    </mc:Choice>
  </mc:AlternateContent>
  <xr:revisionPtr revIDLastSave="273" documentId="13_ncr:1_{3210E65C-312B-0A4F-B37F-34E47A73BB67}" xr6:coauthVersionLast="47" xr6:coauthVersionMax="47" xr10:uidLastSave="{FCDF8953-3A63-4748-80A0-E6D74F77BA38}"/>
  <bookViews>
    <workbookView minimized="1" xWindow="17920" yWindow="500" windowWidth="17920" windowHeight="20140" activeTab="1" xr2:uid="{00000000-000D-0000-FFFF-FFFF00000000}"/>
  </bookViews>
  <sheets>
    <sheet name="Sheet1" sheetId="1" r:id="rId1"/>
    <sheet name="Sheet1 (2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C45" i="2"/>
  <c r="C54" i="2"/>
  <c r="C41" i="2"/>
  <c r="C28" i="2"/>
  <c r="C10" i="2"/>
  <c r="C11" i="2" s="1"/>
  <c r="C35" i="2"/>
  <c r="C24" i="2"/>
  <c r="C23" i="2"/>
  <c r="C15" i="2"/>
  <c r="C16" i="2" s="1"/>
  <c r="C34" i="2" s="1"/>
  <c r="C43" i="1"/>
  <c r="C22" i="1"/>
  <c r="C21" i="1"/>
  <c r="C14" i="1"/>
  <c r="C15" i="1" s="1"/>
  <c r="C2" i="2" l="1"/>
  <c r="C7" i="2" s="1"/>
  <c r="C37" i="2"/>
  <c r="C39" i="2" s="1"/>
  <c r="C33" i="1"/>
  <c r="C8" i="1"/>
  <c r="F37" i="1" s="1"/>
  <c r="C2" i="1"/>
  <c r="C44" i="2" l="1"/>
  <c r="C43" i="2"/>
  <c r="C8" i="2"/>
  <c r="C50" i="2"/>
  <c r="C36" i="2"/>
  <c r="C38" i="2"/>
  <c r="C53" i="2" s="1"/>
  <c r="C35" i="1"/>
  <c r="C36" i="1" s="1"/>
  <c r="C48" i="2" l="1"/>
  <c r="C55" i="2"/>
  <c r="C21" i="2"/>
  <c r="C34" i="1"/>
  <c r="C46" i="1"/>
</calcChain>
</file>

<file path=xl/sharedStrings.xml><?xml version="1.0" encoding="utf-8"?>
<sst xmlns="http://schemas.openxmlformats.org/spreadsheetml/2006/main" count="307" uniqueCount="127">
  <si>
    <t>Parameter</t>
  </si>
  <si>
    <t>Equation</t>
  </si>
  <si>
    <t>Value</t>
  </si>
  <si>
    <t>Units</t>
  </si>
  <si>
    <t>Power Requirement (Pin)</t>
  </si>
  <si>
    <t>Pin / η</t>
  </si>
  <si>
    <t>W</t>
  </si>
  <si>
    <t>Efficiency (η)</t>
  </si>
  <si>
    <t>Estimation</t>
  </si>
  <si>
    <t>-</t>
  </si>
  <si>
    <t>Rated Frequency (f)</t>
  </si>
  <si>
    <t>Given</t>
  </si>
  <si>
    <t>Hz</t>
  </si>
  <si>
    <t>Number of Stator Coils (Ns)</t>
  </si>
  <si>
    <t>Number of Poles (p)</t>
  </si>
  <si>
    <t>Number of Phases (m)</t>
  </si>
  <si>
    <t>Input Phase Current (Irms)</t>
  </si>
  <si>
    <t>A</t>
  </si>
  <si>
    <t>DC Voltage Link (V_L)</t>
  </si>
  <si>
    <t>V</t>
  </si>
  <si>
    <t>Back-EMF (Eph)</t>
  </si>
  <si>
    <t>Back-EMF ratio (γemf)</t>
  </si>
  <si>
    <t>Eph/Vph</t>
  </si>
  <si>
    <t>Torque (T)</t>
  </si>
  <si>
    <t>Given, T = Pout / ω</t>
  </si>
  <si>
    <t>Nm</t>
  </si>
  <si>
    <t>RPM Speed (rpm)</t>
  </si>
  <si>
    <t>Speed (ω)</t>
  </si>
  <si>
    <t>ω = 2 * pi * rpm / 60</t>
  </si>
  <si>
    <t>rad/s</t>
  </si>
  <si>
    <t>Power Output (Pout)</t>
  </si>
  <si>
    <t>Pout = η * Pin</t>
  </si>
  <si>
    <t>Power Factor (cosφ)</t>
  </si>
  <si>
    <t>Average Flux Density in Air Gap (Bav)</t>
  </si>
  <si>
    <t>T</t>
  </si>
  <si>
    <t>Stator Yoke Flux  Density (Bst)</t>
  </si>
  <si>
    <t>Electrical Loading (ac)</t>
  </si>
  <si>
    <t>Estimation (2 * m * Nph * Ic)/(pi * D)</t>
  </si>
  <si>
    <t>A/m</t>
  </si>
  <si>
    <t>Outer Diameter (OSD)</t>
  </si>
  <si>
    <t>mm</t>
  </si>
  <si>
    <t>Ratio of Inner to Outer Diameter (sr)</t>
  </si>
  <si>
    <t>ISD / OSD</t>
  </si>
  <si>
    <t>Mean Air Gap Diameter (D)</t>
  </si>
  <si>
    <t>(OSD + ISD) / 2</t>
  </si>
  <si>
    <t>Inner Diameter (ISD)</t>
  </si>
  <si>
    <t>ISD = OSD * split_ratio</t>
  </si>
  <si>
    <t>Air Gap Length (g)</t>
  </si>
  <si>
    <t>Rotor Thickness (T_rotor_BY)</t>
  </si>
  <si>
    <t>Winding Thickness (T_winding)</t>
  </si>
  <si>
    <t>Magnet Thickness (T_mag)</t>
  </si>
  <si>
    <t>Stator Tooth Thickness (T_teeth)</t>
  </si>
  <si>
    <t>Magnet Gap (G_mag)</t>
  </si>
  <si>
    <t>Stator Shoe Gap (G_shoe)</t>
  </si>
  <si>
    <t>Stator Shoe Thickness (T_shoe)</t>
  </si>
  <si>
    <t>Output Coefficient (G)</t>
  </si>
  <si>
    <t>(8*Pout)/(OSD^3 *rps*(1+sr)^2 * (1-sr))</t>
  </si>
  <si>
    <t>(1.11 * π^2 * kw * Bav * ac * η * cosφ)/γemf</t>
  </si>
  <si>
    <t>Stack Length (L)</t>
  </si>
  <si>
    <t>L = (60 * Pout) / (G * D^2 * rpm)</t>
  </si>
  <si>
    <t>Total Flux (φtot)</t>
  </si>
  <si>
    <t>φtot = Bav * π * D * L</t>
  </si>
  <si>
    <t>Wb</t>
  </si>
  <si>
    <t>Pole Flux (φp)</t>
  </si>
  <si>
    <t>φp = Bav * π * D * L / p</t>
  </si>
  <si>
    <t>Stator Flux (φst)</t>
  </si>
  <si>
    <t>φst = φp * p / Ns</t>
  </si>
  <si>
    <t>Turns per Phase (Nph)</t>
  </si>
  <si>
    <t>Nph = Eph / (4.44 * f * kw * φp)</t>
  </si>
  <si>
    <t>Number of Parallel Strands (Nstrands)</t>
  </si>
  <si>
    <t>Number of Parallel Branches (Np)</t>
  </si>
  <si>
    <t>Integer Ns/2p</t>
  </si>
  <si>
    <t>Number of Coil Turns (Ntc)</t>
  </si>
  <si>
    <t>Ntc = (Nph * 3 * Np) / Ns</t>
  </si>
  <si>
    <t>Wire Diameter (dw)</t>
  </si>
  <si>
    <t>dw = sqrt(4 * Ic / (π * Nstrands * Jsw))</t>
  </si>
  <si>
    <t>Stator Winding Current Density (Jsw)</t>
  </si>
  <si>
    <t>A/mm^2</t>
  </si>
  <si>
    <t>Winding Factor (Kw)</t>
  </si>
  <si>
    <t>Copper Area (Ac)</t>
  </si>
  <si>
    <t>Ac = Ntc * Nstrands * (π * dw² / 4)</t>
  </si>
  <si>
    <t>mm²</t>
  </si>
  <si>
    <t>Slot Winding Fill Factor (Kfill)</t>
  </si>
  <si>
    <t>Torque Constant (Kt)</t>
  </si>
  <si>
    <t>Kt = (3/2) * p * φp * kw</t>
  </si>
  <si>
    <t>Nm/A</t>
  </si>
  <si>
    <t>Back EMF Constant (Ke)</t>
  </si>
  <si>
    <t>Ke = 4.44 * f * Nph * kw * φp</t>
  </si>
  <si>
    <t>V·s/rad</t>
  </si>
  <si>
    <t>Copper Loss (Pcu)</t>
  </si>
  <si>
    <t>Pcu = 3 * Iph² * Rph</t>
  </si>
  <si>
    <t>Pout / η</t>
  </si>
  <si>
    <t>Pout = T*ω</t>
  </si>
  <si>
    <t>rpm</t>
  </si>
  <si>
    <t>L = (OSD-ISD)/2</t>
  </si>
  <si>
    <t>Coil Current (Ic)</t>
  </si>
  <si>
    <t>Iph/Np</t>
  </si>
  <si>
    <t>DC Voltage Link (V_L, Vt)</t>
  </si>
  <si>
    <t>Phase Voltage (Vph)</t>
  </si>
  <si>
    <t>Vt/sqrt(3)</t>
  </si>
  <si>
    <t>Vph*yemf</t>
  </si>
  <si>
    <t>Stator Slot Width (wss)</t>
  </si>
  <si>
    <t>Paper Thickness (paperT)</t>
  </si>
  <si>
    <t>Width between Coils (bw0)</t>
  </si>
  <si>
    <t>(wss-2*paperT-bw0)/2</t>
  </si>
  <si>
    <t>Magnet Thickness (dm)</t>
  </si>
  <si>
    <t>Magnet Gap (bm0)</t>
  </si>
  <si>
    <t>Number of Coils per Phase (Ncpph)</t>
  </si>
  <si>
    <t>Ns/m</t>
  </si>
  <si>
    <t>Turns per Phase (Ntph)</t>
  </si>
  <si>
    <t>Ntph = Eph / (4.44 * f * kw * φp)</t>
  </si>
  <si>
    <t>lambda_max</t>
  </si>
  <si>
    <t>lambda_max=kw*Ntph*φp</t>
  </si>
  <si>
    <t>(3*2*Ntc*Ncpph*Ic)/(pi*D)</t>
  </si>
  <si>
    <t>dAst</t>
  </si>
  <si>
    <t>φst/Bst</t>
  </si>
  <si>
    <t>Rotor Thickness (dry)</t>
  </si>
  <si>
    <t>Gross Area of a Coil Arm (gAca)</t>
  </si>
  <si>
    <t>Coil Depth (dc)</t>
  </si>
  <si>
    <t>gAca/wc</t>
  </si>
  <si>
    <t>Winding Thickness (wc)</t>
  </si>
  <si>
    <t>Pout/(D^2 *L*rps)</t>
  </si>
  <si>
    <t>Maximum Stator Yoke Flux Density (Bst)</t>
  </si>
  <si>
    <t>(pi*D*L-Ns*dAst)/(Ns*L)</t>
  </si>
  <si>
    <t>Maximum Rotor Yoke Flux Density (Bry)</t>
  </si>
  <si>
    <t>Ntc = (Ntph * 3 * Np) / Ns</t>
  </si>
  <si>
    <t>Ac/Kfill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</si>
</sst>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zoomScale="119" workbookViewId="0">
      <selection activeCell="C32" sqref="C32"/>
    </sheetView>
  </sheetViews>
  <sheetFormatPr baseColWidth="10" defaultColWidth="8.83203125" defaultRowHeight="15" x14ac:dyDescent="0.2"/>
  <cols>
    <col min="1" max="1" width="42.6640625" customWidth="1"/>
    <col min="2" max="2" width="33" customWidth="1"/>
    <col min="3" max="3" width="22.6640625" customWidth="1"/>
    <col min="4" max="4" width="21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>
        <f xml:space="preserve"> C15 /C3</f>
        <v>15.126186850617518</v>
      </c>
      <c r="D2" s="2" t="s">
        <v>6</v>
      </c>
    </row>
    <row r="3" spans="1:4" x14ac:dyDescent="0.2">
      <c r="A3" s="2" t="s">
        <v>7</v>
      </c>
      <c r="B3" s="2" t="s">
        <v>8</v>
      </c>
      <c r="C3" s="2">
        <v>0.9</v>
      </c>
      <c r="D3" s="2" t="s">
        <v>9</v>
      </c>
    </row>
    <row r="4" spans="1:4" x14ac:dyDescent="0.2">
      <c r="A4" s="2" t="s">
        <v>10</v>
      </c>
      <c r="B4" s="2" t="s">
        <v>11</v>
      </c>
      <c r="C4" s="2">
        <v>50</v>
      </c>
      <c r="D4" s="2" t="s">
        <v>12</v>
      </c>
    </row>
    <row r="5" spans="1:4" x14ac:dyDescent="0.2">
      <c r="A5" s="2" t="s">
        <v>13</v>
      </c>
      <c r="B5" s="2" t="s">
        <v>8</v>
      </c>
      <c r="C5" s="2">
        <v>12</v>
      </c>
      <c r="D5" s="2" t="s">
        <v>9</v>
      </c>
    </row>
    <row r="6" spans="1:4" x14ac:dyDescent="0.2">
      <c r="A6" s="2" t="s">
        <v>14</v>
      </c>
      <c r="B6" s="2" t="s">
        <v>8</v>
      </c>
      <c r="C6" s="2">
        <v>10</v>
      </c>
      <c r="D6" s="2" t="s">
        <v>9</v>
      </c>
    </row>
    <row r="7" spans="1:4" x14ac:dyDescent="0.2">
      <c r="A7" s="2" t="s">
        <v>15</v>
      </c>
      <c r="B7" s="2" t="s">
        <v>11</v>
      </c>
      <c r="C7" s="2">
        <v>3</v>
      </c>
      <c r="D7" s="2" t="s">
        <v>9</v>
      </c>
    </row>
    <row r="8" spans="1:4" x14ac:dyDescent="0.2">
      <c r="A8" s="2" t="s">
        <v>16</v>
      </c>
      <c r="B8" s="2" t="s">
        <v>11</v>
      </c>
      <c r="C8" s="2">
        <f>C15/C9</f>
        <v>1.134464013796314</v>
      </c>
      <c r="D8" s="2" t="s">
        <v>17</v>
      </c>
    </row>
    <row r="9" spans="1:4" x14ac:dyDescent="0.2">
      <c r="A9" s="2" t="s">
        <v>18</v>
      </c>
      <c r="B9" s="2" t="s">
        <v>11</v>
      </c>
      <c r="C9" s="2">
        <v>12</v>
      </c>
      <c r="D9" s="2" t="s">
        <v>19</v>
      </c>
    </row>
    <row r="10" spans="1:4" x14ac:dyDescent="0.2">
      <c r="A10" s="2" t="s">
        <v>20</v>
      </c>
      <c r="B10" s="2"/>
      <c r="C10" s="2"/>
      <c r="D10" s="2" t="s">
        <v>19</v>
      </c>
    </row>
    <row r="11" spans="1:4" x14ac:dyDescent="0.2">
      <c r="A11" s="2" t="s">
        <v>21</v>
      </c>
      <c r="B11" s="2" t="s">
        <v>22</v>
      </c>
      <c r="C11" s="2"/>
      <c r="D11" s="2"/>
    </row>
    <row r="12" spans="1:4" x14ac:dyDescent="0.2">
      <c r="A12" t="s">
        <v>23</v>
      </c>
      <c r="B12" t="s">
        <v>24</v>
      </c>
      <c r="C12">
        <v>1.2</v>
      </c>
      <c r="D12" t="s">
        <v>25</v>
      </c>
    </row>
    <row r="13" spans="1:4" x14ac:dyDescent="0.2">
      <c r="A13" t="s">
        <v>26</v>
      </c>
      <c r="B13" t="s">
        <v>11</v>
      </c>
      <c r="C13">
        <v>65</v>
      </c>
      <c r="D13" t="s">
        <v>9</v>
      </c>
    </row>
    <row r="14" spans="1:4" x14ac:dyDescent="0.2">
      <c r="A14" t="s">
        <v>27</v>
      </c>
      <c r="B14" t="s">
        <v>28</v>
      </c>
      <c r="C14">
        <f xml:space="preserve"> (2*PI()*C13)/60</f>
        <v>6.8067840827778845</v>
      </c>
      <c r="D14" t="s">
        <v>29</v>
      </c>
    </row>
    <row r="15" spans="1:4" x14ac:dyDescent="0.2">
      <c r="A15" t="s">
        <v>30</v>
      </c>
      <c r="B15" t="s">
        <v>31</v>
      </c>
      <c r="C15">
        <f>(C12*C14)/0.6</f>
        <v>13.613568165555767</v>
      </c>
      <c r="D15" t="s">
        <v>6</v>
      </c>
    </row>
    <row r="16" spans="1:4" x14ac:dyDescent="0.2">
      <c r="A16" t="s">
        <v>32</v>
      </c>
      <c r="B16" t="s">
        <v>8</v>
      </c>
      <c r="C16">
        <v>0.9</v>
      </c>
      <c r="D16" t="s">
        <v>9</v>
      </c>
    </row>
    <row r="17" spans="1:5" x14ac:dyDescent="0.2">
      <c r="A17" t="s">
        <v>33</v>
      </c>
      <c r="B17" t="s">
        <v>8</v>
      </c>
      <c r="C17">
        <v>0.7</v>
      </c>
      <c r="D17" t="s">
        <v>34</v>
      </c>
    </row>
    <row r="18" spans="1:5" x14ac:dyDescent="0.2">
      <c r="A18" t="s">
        <v>35</v>
      </c>
      <c r="B18" t="s">
        <v>8</v>
      </c>
      <c r="C18">
        <v>1.8</v>
      </c>
      <c r="D18" t="s">
        <v>34</v>
      </c>
    </row>
    <row r="19" spans="1:5" x14ac:dyDescent="0.2">
      <c r="A19" t="s">
        <v>36</v>
      </c>
      <c r="B19" t="s">
        <v>37</v>
      </c>
      <c r="C19">
        <v>20000</v>
      </c>
      <c r="D19" t="s">
        <v>38</v>
      </c>
    </row>
    <row r="20" spans="1:5" x14ac:dyDescent="0.2">
      <c r="A20" t="s">
        <v>39</v>
      </c>
      <c r="B20" t="s">
        <v>8</v>
      </c>
      <c r="C20">
        <v>70</v>
      </c>
      <c r="D20" t="s">
        <v>40</v>
      </c>
    </row>
    <row r="21" spans="1:5" x14ac:dyDescent="0.2">
      <c r="A21" t="s">
        <v>41</v>
      </c>
      <c r="B21" t="s">
        <v>42</v>
      </c>
      <c r="C21">
        <f xml:space="preserve"> C23/C20</f>
        <v>0.5714285714285714</v>
      </c>
      <c r="D21" t="s">
        <v>9</v>
      </c>
    </row>
    <row r="22" spans="1:5" x14ac:dyDescent="0.2">
      <c r="A22" t="s">
        <v>43</v>
      </c>
      <c r="B22" t="s">
        <v>44</v>
      </c>
      <c r="C22">
        <f xml:space="preserve"> (C20+C23)/2</f>
        <v>55</v>
      </c>
      <c r="D22" t="s">
        <v>40</v>
      </c>
    </row>
    <row r="23" spans="1:5" x14ac:dyDescent="0.2">
      <c r="A23" t="s">
        <v>45</v>
      </c>
      <c r="B23" t="s">
        <v>46</v>
      </c>
      <c r="C23">
        <v>40</v>
      </c>
      <c r="D23" t="s">
        <v>40</v>
      </c>
    </row>
    <row r="24" spans="1:5" x14ac:dyDescent="0.2">
      <c r="A24" t="s">
        <v>47</v>
      </c>
      <c r="B24" t="s">
        <v>8</v>
      </c>
      <c r="C24">
        <v>0.5</v>
      </c>
      <c r="D24" t="s">
        <v>40</v>
      </c>
    </row>
    <row r="25" spans="1:5" x14ac:dyDescent="0.2">
      <c r="A25" t="s">
        <v>48</v>
      </c>
      <c r="B25" t="s">
        <v>8</v>
      </c>
      <c r="C25">
        <v>1</v>
      </c>
      <c r="D25" t="s">
        <v>40</v>
      </c>
    </row>
    <row r="26" spans="1:5" x14ac:dyDescent="0.2">
      <c r="A26" t="s">
        <v>49</v>
      </c>
      <c r="B26" t="s">
        <v>8</v>
      </c>
      <c r="C26">
        <v>2</v>
      </c>
      <c r="D26" t="s">
        <v>40</v>
      </c>
    </row>
    <row r="27" spans="1:5" x14ac:dyDescent="0.2">
      <c r="A27" t="s">
        <v>50</v>
      </c>
      <c r="B27" t="s">
        <v>8</v>
      </c>
      <c r="C27">
        <v>1</v>
      </c>
      <c r="D27" t="s">
        <v>40</v>
      </c>
    </row>
    <row r="28" spans="1:5" x14ac:dyDescent="0.2">
      <c r="A28" t="s">
        <v>51</v>
      </c>
      <c r="B28" t="s">
        <v>8</v>
      </c>
      <c r="C28">
        <v>10</v>
      </c>
      <c r="D28" t="s">
        <v>40</v>
      </c>
    </row>
    <row r="29" spans="1:5" x14ac:dyDescent="0.2">
      <c r="A29" t="s">
        <v>52</v>
      </c>
      <c r="B29" t="s">
        <v>8</v>
      </c>
      <c r="C29">
        <v>0.5</v>
      </c>
      <c r="D29" t="s">
        <v>40</v>
      </c>
    </row>
    <row r="30" spans="1:5" x14ac:dyDescent="0.2">
      <c r="A30" t="s">
        <v>53</v>
      </c>
      <c r="B30" t="s">
        <v>8</v>
      </c>
      <c r="C30">
        <v>0.75</v>
      </c>
      <c r="D30" t="s">
        <v>40</v>
      </c>
    </row>
    <row r="31" spans="1:5" x14ac:dyDescent="0.2">
      <c r="A31" t="s">
        <v>54</v>
      </c>
      <c r="B31" t="s">
        <v>8</v>
      </c>
      <c r="C31">
        <v>1</v>
      </c>
      <c r="D31" t="s">
        <v>40</v>
      </c>
    </row>
    <row r="32" spans="1:5" x14ac:dyDescent="0.2">
      <c r="A32" t="s">
        <v>55</v>
      </c>
      <c r="B32" t="s">
        <v>56</v>
      </c>
      <c r="C32">
        <v>0.70199999999999996</v>
      </c>
      <c r="D32" t="s">
        <v>9</v>
      </c>
      <c r="E32" t="s">
        <v>57</v>
      </c>
    </row>
    <row r="33" spans="1:6" x14ac:dyDescent="0.2">
      <c r="A33" t="s">
        <v>58</v>
      </c>
      <c r="B33" t="s">
        <v>59</v>
      </c>
      <c r="C33">
        <f>(60*C15)/(C32*(C22/1000)^2 *C13 *1000)</f>
        <v>5.9176240796586717</v>
      </c>
      <c r="D33" t="s">
        <v>40</v>
      </c>
    </row>
    <row r="34" spans="1:6" x14ac:dyDescent="0.2">
      <c r="A34" t="s">
        <v>60</v>
      </c>
      <c r="B34" t="s">
        <v>61</v>
      </c>
      <c r="C34">
        <f>C35*C6</f>
        <v>7.1574442691142715E-4</v>
      </c>
      <c r="D34" t="s">
        <v>62</v>
      </c>
    </row>
    <row r="35" spans="1:6" x14ac:dyDescent="0.2">
      <c r="A35" t="s">
        <v>63</v>
      </c>
      <c r="B35" t="s">
        <v>64</v>
      </c>
      <c r="C35">
        <f xml:space="preserve"> (C17*PI()*C22*C33)/(C6*1000*1000)</f>
        <v>7.1574442691142712E-5</v>
      </c>
      <c r="D35" t="s">
        <v>62</v>
      </c>
    </row>
    <row r="36" spans="1:6" x14ac:dyDescent="0.2">
      <c r="A36" t="s">
        <v>65</v>
      </c>
      <c r="B36" t="s">
        <v>66</v>
      </c>
      <c r="C36">
        <f>C35*C6/C5</f>
        <v>5.9645368909285595E-5</v>
      </c>
      <c r="D36" t="s">
        <v>62</v>
      </c>
    </row>
    <row r="37" spans="1:6" x14ac:dyDescent="0.2">
      <c r="A37" t="s">
        <v>67</v>
      </c>
      <c r="B37" t="s">
        <v>68</v>
      </c>
      <c r="C37">
        <v>326</v>
      </c>
      <c r="D37" t="s">
        <v>9</v>
      </c>
      <c r="F37">
        <f>(C19*PI()*C22)/(2*C7*C8*1000)</f>
        <v>507.69230769230774</v>
      </c>
    </row>
    <row r="38" spans="1:6" x14ac:dyDescent="0.2">
      <c r="A38" t="s">
        <v>69</v>
      </c>
    </row>
    <row r="39" spans="1:6" x14ac:dyDescent="0.2">
      <c r="A39" t="s">
        <v>70</v>
      </c>
      <c r="B39" t="s">
        <v>71</v>
      </c>
      <c r="C39">
        <v>1</v>
      </c>
      <c r="D39" t="s">
        <v>9</v>
      </c>
    </row>
    <row r="40" spans="1:6" x14ac:dyDescent="0.2">
      <c r="A40" t="s">
        <v>72</v>
      </c>
      <c r="B40" t="s">
        <v>73</v>
      </c>
      <c r="C40">
        <v>20</v>
      </c>
      <c r="D40" t="s">
        <v>9</v>
      </c>
    </row>
    <row r="41" spans="1:6" x14ac:dyDescent="0.2">
      <c r="A41" t="s">
        <v>74</v>
      </c>
      <c r="B41" t="s">
        <v>75</v>
      </c>
      <c r="D41" t="s">
        <v>40</v>
      </c>
    </row>
    <row r="42" spans="1:6" x14ac:dyDescent="0.2">
      <c r="A42" t="s">
        <v>76</v>
      </c>
      <c r="B42" t="s">
        <v>8</v>
      </c>
      <c r="C42">
        <v>5</v>
      </c>
      <c r="D42" t="s">
        <v>77</v>
      </c>
    </row>
    <row r="43" spans="1:6" x14ac:dyDescent="0.2">
      <c r="A43" t="s">
        <v>78</v>
      </c>
      <c r="C43">
        <f>(PI()*C5)/(4*C37)</f>
        <v>2.8910361842850858E-2</v>
      </c>
      <c r="D43" t="s">
        <v>9</v>
      </c>
    </row>
    <row r="44" spans="1:6" x14ac:dyDescent="0.2">
      <c r="A44" t="s">
        <v>79</v>
      </c>
      <c r="B44" t="s">
        <v>80</v>
      </c>
      <c r="D44" t="s">
        <v>81</v>
      </c>
    </row>
    <row r="45" spans="1:6" x14ac:dyDescent="0.2">
      <c r="A45" t="s">
        <v>82</v>
      </c>
      <c r="B45" t="s">
        <v>8</v>
      </c>
      <c r="C45">
        <v>0.5</v>
      </c>
      <c r="D45" t="s">
        <v>9</v>
      </c>
    </row>
    <row r="46" spans="1:6" x14ac:dyDescent="0.2">
      <c r="A46" t="s">
        <v>83</v>
      </c>
      <c r="B46" t="s">
        <v>84</v>
      </c>
      <c r="C46">
        <f>(3/2)*C6*C35*C43</f>
        <v>3.1038645553519918E-5</v>
      </c>
      <c r="D46" t="s">
        <v>85</v>
      </c>
    </row>
    <row r="47" spans="1:6" x14ac:dyDescent="0.2">
      <c r="A47" t="s">
        <v>86</v>
      </c>
      <c r="B47" t="s">
        <v>87</v>
      </c>
      <c r="D47" t="s">
        <v>88</v>
      </c>
    </row>
    <row r="48" spans="1:6" x14ac:dyDescent="0.2">
      <c r="A48" t="s">
        <v>89</v>
      </c>
      <c r="B48" t="s">
        <v>90</v>
      </c>
      <c r="D4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94E9-A9B7-8447-A8A3-CB3A9A63C96A}">
  <dimension ref="A1:E55"/>
  <sheetViews>
    <sheetView tabSelected="1" topLeftCell="A23" workbookViewId="0">
      <selection activeCell="A49" sqref="A49"/>
    </sheetView>
  </sheetViews>
  <sheetFormatPr baseColWidth="10" defaultColWidth="8.83203125" defaultRowHeight="15" x14ac:dyDescent="0.2"/>
  <cols>
    <col min="1" max="1" width="42.6640625" customWidth="1"/>
    <col min="2" max="2" width="33" customWidth="1"/>
    <col min="3" max="3" width="22.6640625" customWidth="1"/>
    <col min="4" max="4" width="21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91</v>
      </c>
      <c r="C2" s="2">
        <f xml:space="preserve"> C16 /C3</f>
        <v>13.613568165555767</v>
      </c>
      <c r="D2" s="2" t="s">
        <v>6</v>
      </c>
    </row>
    <row r="3" spans="1:4" x14ac:dyDescent="0.2">
      <c r="A3" s="2" t="s">
        <v>7</v>
      </c>
      <c r="B3" s="2" t="s">
        <v>8</v>
      </c>
      <c r="C3" s="2">
        <v>0.6</v>
      </c>
      <c r="D3" s="2" t="s">
        <v>9</v>
      </c>
    </row>
    <row r="4" spans="1:4" x14ac:dyDescent="0.2">
      <c r="A4" s="2" t="s">
        <v>13</v>
      </c>
      <c r="B4" s="2" t="s">
        <v>8</v>
      </c>
      <c r="C4" s="2">
        <v>12</v>
      </c>
      <c r="D4" s="2" t="s">
        <v>9</v>
      </c>
    </row>
    <row r="5" spans="1:4" x14ac:dyDescent="0.2">
      <c r="A5" s="2" t="s">
        <v>14</v>
      </c>
      <c r="B5" s="2" t="s">
        <v>8</v>
      </c>
      <c r="C5" s="2">
        <v>10</v>
      </c>
      <c r="D5" s="2" t="s">
        <v>9</v>
      </c>
    </row>
    <row r="6" spans="1:4" x14ac:dyDescent="0.2">
      <c r="A6" s="2" t="s">
        <v>15</v>
      </c>
      <c r="B6" s="2" t="s">
        <v>11</v>
      </c>
      <c r="C6" s="2">
        <v>3</v>
      </c>
      <c r="D6" s="2" t="s">
        <v>9</v>
      </c>
    </row>
    <row r="7" spans="1:4" x14ac:dyDescent="0.2">
      <c r="A7" s="2" t="s">
        <v>16</v>
      </c>
      <c r="B7" s="2" t="s">
        <v>11</v>
      </c>
      <c r="C7" s="2">
        <f>C2/(SQRT(3)*C9*C17)</f>
        <v>0.72775900416805017</v>
      </c>
      <c r="D7" s="2" t="s">
        <v>17</v>
      </c>
    </row>
    <row r="8" spans="1:4" x14ac:dyDescent="0.2">
      <c r="A8" s="2" t="s">
        <v>95</v>
      </c>
      <c r="B8" s="2" t="s">
        <v>96</v>
      </c>
      <c r="C8" s="2">
        <f>C7/C42</f>
        <v>0.72775900416805017</v>
      </c>
      <c r="D8" s="2" t="s">
        <v>17</v>
      </c>
    </row>
    <row r="9" spans="1:4" x14ac:dyDescent="0.2">
      <c r="A9" s="2" t="s">
        <v>97</v>
      </c>
      <c r="B9" s="2" t="s">
        <v>11</v>
      </c>
      <c r="C9" s="2">
        <v>12</v>
      </c>
      <c r="D9" s="2" t="s">
        <v>19</v>
      </c>
    </row>
    <row r="10" spans="1:4" x14ac:dyDescent="0.2">
      <c r="A10" s="2" t="s">
        <v>98</v>
      </c>
      <c r="B10" s="2" t="s">
        <v>99</v>
      </c>
      <c r="C10" s="2">
        <f>C9/SQRT(3)</f>
        <v>6.9282032302755097</v>
      </c>
      <c r="D10" s="2" t="s">
        <v>19</v>
      </c>
    </row>
    <row r="11" spans="1:4" x14ac:dyDescent="0.2">
      <c r="A11" s="2" t="s">
        <v>20</v>
      </c>
      <c r="B11" s="2" t="s">
        <v>100</v>
      </c>
      <c r="C11" s="2">
        <f>C10*C12</f>
        <v>6.5817930687617343</v>
      </c>
      <c r="D11" s="2" t="s">
        <v>19</v>
      </c>
    </row>
    <row r="12" spans="1:4" x14ac:dyDescent="0.2">
      <c r="A12" s="2" t="s">
        <v>21</v>
      </c>
      <c r="B12" s="2" t="s">
        <v>8</v>
      </c>
      <c r="C12" s="2">
        <v>0.95</v>
      </c>
      <c r="D12" s="2" t="s">
        <v>9</v>
      </c>
    </row>
    <row r="13" spans="1:4" x14ac:dyDescent="0.2">
      <c r="A13" t="s">
        <v>23</v>
      </c>
      <c r="B13" t="s">
        <v>11</v>
      </c>
      <c r="C13">
        <v>1.2</v>
      </c>
      <c r="D13" t="s">
        <v>25</v>
      </c>
    </row>
    <row r="14" spans="1:4" x14ac:dyDescent="0.2">
      <c r="A14" t="s">
        <v>26</v>
      </c>
      <c r="B14" t="s">
        <v>11</v>
      </c>
      <c r="C14">
        <v>65</v>
      </c>
      <c r="D14" t="s">
        <v>93</v>
      </c>
    </row>
    <row r="15" spans="1:4" x14ac:dyDescent="0.2">
      <c r="A15" t="s">
        <v>27</v>
      </c>
      <c r="B15" t="s">
        <v>28</v>
      </c>
      <c r="C15">
        <f xml:space="preserve"> (2*PI()*C14)/60</f>
        <v>6.8067840827778845</v>
      </c>
      <c r="D15" t="s">
        <v>29</v>
      </c>
    </row>
    <row r="16" spans="1:4" x14ac:dyDescent="0.2">
      <c r="A16" t="s">
        <v>30</v>
      </c>
      <c r="B16" t="s">
        <v>92</v>
      </c>
      <c r="C16">
        <f>C13*C15</f>
        <v>8.1681408993334603</v>
      </c>
      <c r="D16" t="s">
        <v>6</v>
      </c>
    </row>
    <row r="17" spans="1:4" x14ac:dyDescent="0.2">
      <c r="A17" t="s">
        <v>32</v>
      </c>
      <c r="B17" t="s">
        <v>8</v>
      </c>
      <c r="C17">
        <v>0.9</v>
      </c>
      <c r="D17" t="s">
        <v>9</v>
      </c>
    </row>
    <row r="18" spans="1:4" x14ac:dyDescent="0.2">
      <c r="A18" t="s">
        <v>33</v>
      </c>
      <c r="B18" t="s">
        <v>8</v>
      </c>
      <c r="C18">
        <v>0.79500000000000004</v>
      </c>
      <c r="D18" t="s">
        <v>34</v>
      </c>
    </row>
    <row r="19" spans="1:4" x14ac:dyDescent="0.2">
      <c r="A19" t="s">
        <v>122</v>
      </c>
      <c r="B19" t="s">
        <v>8</v>
      </c>
      <c r="C19">
        <v>1.35</v>
      </c>
      <c r="D19" t="s">
        <v>34</v>
      </c>
    </row>
    <row r="20" spans="1:4" x14ac:dyDescent="0.2">
      <c r="A20" t="s">
        <v>124</v>
      </c>
      <c r="B20" t="s">
        <v>8</v>
      </c>
      <c r="C20">
        <v>1.1000000000000001</v>
      </c>
      <c r="D20" t="s">
        <v>34</v>
      </c>
    </row>
    <row r="21" spans="1:4" x14ac:dyDescent="0.2">
      <c r="A21" t="s">
        <v>36</v>
      </c>
      <c r="B21" t="s">
        <v>113</v>
      </c>
      <c r="C21">
        <f>(3*2*C44*C41*C8)/(PI()*C24/1000)</f>
        <v>21152.836405560072</v>
      </c>
      <c r="D21" t="s">
        <v>38</v>
      </c>
    </row>
    <row r="22" spans="1:4" x14ac:dyDescent="0.2">
      <c r="A22" t="s">
        <v>39</v>
      </c>
      <c r="B22" t="s">
        <v>34</v>
      </c>
      <c r="C22">
        <v>80</v>
      </c>
      <c r="D22" t="s">
        <v>40</v>
      </c>
    </row>
    <row r="23" spans="1:4" x14ac:dyDescent="0.2">
      <c r="A23" t="s">
        <v>41</v>
      </c>
      <c r="B23" t="s">
        <v>42</v>
      </c>
      <c r="C23">
        <f xml:space="preserve"> C25/C22</f>
        <v>0.5</v>
      </c>
      <c r="D23" t="s">
        <v>9</v>
      </c>
    </row>
    <row r="24" spans="1:4" x14ac:dyDescent="0.2">
      <c r="A24" t="s">
        <v>43</v>
      </c>
      <c r="B24" t="s">
        <v>44</v>
      </c>
      <c r="C24">
        <f xml:space="preserve"> (C22+C25)/2</f>
        <v>60</v>
      </c>
      <c r="D24" t="s">
        <v>40</v>
      </c>
    </row>
    <row r="25" spans="1:4" x14ac:dyDescent="0.2">
      <c r="A25" t="s">
        <v>45</v>
      </c>
      <c r="B25" t="s">
        <v>46</v>
      </c>
      <c r="C25">
        <v>40</v>
      </c>
      <c r="D25" t="s">
        <v>40</v>
      </c>
    </row>
    <row r="26" spans="1:4" x14ac:dyDescent="0.2">
      <c r="A26" t="s">
        <v>47</v>
      </c>
      <c r="B26" t="s">
        <v>8</v>
      </c>
      <c r="C26">
        <v>0.5</v>
      </c>
      <c r="D26" t="s">
        <v>40</v>
      </c>
    </row>
    <row r="27" spans="1:4" x14ac:dyDescent="0.2">
      <c r="A27" t="s">
        <v>116</v>
      </c>
      <c r="B27" t="s">
        <v>8</v>
      </c>
      <c r="C27">
        <v>3</v>
      </c>
      <c r="D27" t="s">
        <v>40</v>
      </c>
    </row>
    <row r="28" spans="1:4" x14ac:dyDescent="0.2">
      <c r="A28" t="s">
        <v>120</v>
      </c>
      <c r="B28" t="s">
        <v>104</v>
      </c>
      <c r="C28">
        <f>(C30-2*C29-C31)/2</f>
        <v>2.4288591161895097</v>
      </c>
      <c r="D28" t="s">
        <v>40</v>
      </c>
    </row>
    <row r="29" spans="1:4" x14ac:dyDescent="0.2">
      <c r="A29" t="s">
        <v>102</v>
      </c>
      <c r="B29" t="s">
        <v>8</v>
      </c>
      <c r="C29">
        <v>0.3</v>
      </c>
      <c r="D29" t="s">
        <v>40</v>
      </c>
    </row>
    <row r="30" spans="1:4" x14ac:dyDescent="0.2">
      <c r="A30" t="s">
        <v>101</v>
      </c>
      <c r="B30" t="s">
        <v>123</v>
      </c>
      <c r="C30">
        <f>(PI()*C24*C35-C4*C53)/(C4*C35)</f>
        <v>6.457718232379019</v>
      </c>
      <c r="D30" t="s">
        <v>40</v>
      </c>
    </row>
    <row r="31" spans="1:4" x14ac:dyDescent="0.2">
      <c r="A31" t="s">
        <v>103</v>
      </c>
      <c r="B31" t="s">
        <v>8</v>
      </c>
      <c r="C31">
        <v>1</v>
      </c>
      <c r="D31" t="s">
        <v>40</v>
      </c>
    </row>
    <row r="32" spans="1:4" x14ac:dyDescent="0.2">
      <c r="A32" t="s">
        <v>105</v>
      </c>
      <c r="B32" t="s">
        <v>8</v>
      </c>
      <c r="C32">
        <v>5</v>
      </c>
      <c r="D32" t="s">
        <v>40</v>
      </c>
    </row>
    <row r="33" spans="1:5" x14ac:dyDescent="0.2">
      <c r="A33" t="s">
        <v>106</v>
      </c>
      <c r="B33" t="s">
        <v>8</v>
      </c>
      <c r="C33">
        <v>1</v>
      </c>
      <c r="D33" t="s">
        <v>40</v>
      </c>
    </row>
    <row r="34" spans="1:5" x14ac:dyDescent="0.2">
      <c r="A34" t="s">
        <v>55</v>
      </c>
      <c r="B34" t="s">
        <v>121</v>
      </c>
      <c r="C34">
        <f>C16/(C24^2 *C35*C14/60)</f>
        <v>1.0471975511965975E-4</v>
      </c>
      <c r="D34" t="s">
        <v>9</v>
      </c>
      <c r="E34" t="s">
        <v>57</v>
      </c>
    </row>
    <row r="35" spans="1:5" x14ac:dyDescent="0.2">
      <c r="A35" t="s">
        <v>58</v>
      </c>
      <c r="B35" t="s">
        <v>94</v>
      </c>
      <c r="C35">
        <f>(C22-C25)/2</f>
        <v>20</v>
      </c>
      <c r="D35" t="s">
        <v>40</v>
      </c>
    </row>
    <row r="36" spans="1:5" x14ac:dyDescent="0.2">
      <c r="A36" t="s">
        <v>60</v>
      </c>
      <c r="B36" t="s">
        <v>61</v>
      </c>
      <c r="C36">
        <f>C37*C5</f>
        <v>2.9970793915246627E-3</v>
      </c>
      <c r="D36" t="s">
        <v>62</v>
      </c>
    </row>
    <row r="37" spans="1:5" x14ac:dyDescent="0.2">
      <c r="A37" t="s">
        <v>63</v>
      </c>
      <c r="B37" t="s">
        <v>64</v>
      </c>
      <c r="C37">
        <f xml:space="preserve"> (C18*PI()*C24*C35)/(C5*1000*1000)</f>
        <v>2.9970793915246627E-4</v>
      </c>
      <c r="D37" t="s">
        <v>62</v>
      </c>
    </row>
    <row r="38" spans="1:5" x14ac:dyDescent="0.2">
      <c r="A38" t="s">
        <v>65</v>
      </c>
      <c r="B38" t="s">
        <v>66</v>
      </c>
      <c r="C38">
        <f>C37*C5/C4</f>
        <v>2.4975661596038856E-4</v>
      </c>
      <c r="D38" t="s">
        <v>62</v>
      </c>
    </row>
    <row r="39" spans="1:5" x14ac:dyDescent="0.2">
      <c r="A39" t="s">
        <v>109</v>
      </c>
      <c r="B39" t="s">
        <v>110</v>
      </c>
      <c r="C39">
        <f>C11/(4.44*(C15/(2*PI()))*5*C47*C37)</f>
        <v>913.12639312874978</v>
      </c>
      <c r="D39" t="s">
        <v>9</v>
      </c>
    </row>
    <row r="40" spans="1:5" x14ac:dyDescent="0.2">
      <c r="A40" t="s">
        <v>69</v>
      </c>
      <c r="B40" t="s">
        <v>8</v>
      </c>
      <c r="C40">
        <v>1</v>
      </c>
      <c r="D40" t="s">
        <v>9</v>
      </c>
    </row>
    <row r="41" spans="1:5" x14ac:dyDescent="0.2">
      <c r="A41" t="s">
        <v>107</v>
      </c>
      <c r="B41" t="s">
        <v>108</v>
      </c>
      <c r="C41">
        <f>C4/C6</f>
        <v>4</v>
      </c>
      <c r="D41" t="s">
        <v>9</v>
      </c>
    </row>
    <row r="42" spans="1:5" x14ac:dyDescent="0.2">
      <c r="A42" t="s">
        <v>70</v>
      </c>
      <c r="B42" t="s">
        <v>8</v>
      </c>
      <c r="C42">
        <v>1</v>
      </c>
      <c r="D42" t="s">
        <v>9</v>
      </c>
    </row>
    <row r="43" spans="1:5" x14ac:dyDescent="0.2">
      <c r="A43" t="s">
        <v>111</v>
      </c>
      <c r="B43" t="s">
        <v>112</v>
      </c>
      <c r="C43">
        <f>C47*C39*C37</f>
        <v>0.27367122947034234</v>
      </c>
    </row>
    <row r="44" spans="1:5" x14ac:dyDescent="0.2">
      <c r="A44" t="s">
        <v>72</v>
      </c>
      <c r="B44" t="s">
        <v>125</v>
      </c>
      <c r="C44">
        <f>(C39*3*C42)/C4</f>
        <v>228.28159828218745</v>
      </c>
      <c r="D44" t="s">
        <v>9</v>
      </c>
    </row>
    <row r="45" spans="1:5" x14ac:dyDescent="0.2">
      <c r="A45" t="s">
        <v>74</v>
      </c>
      <c r="B45" t="s">
        <v>75</v>
      </c>
      <c r="C45">
        <f>SQRT(4*C7/(PI()*C40*C46))</f>
        <v>0.39629888206085734</v>
      </c>
      <c r="D45" t="s">
        <v>81</v>
      </c>
    </row>
    <row r="46" spans="1:5" x14ac:dyDescent="0.2">
      <c r="A46" t="s">
        <v>76</v>
      </c>
      <c r="B46" t="s">
        <v>8</v>
      </c>
      <c r="C46">
        <v>5.9</v>
      </c>
      <c r="D46" t="s">
        <v>77</v>
      </c>
    </row>
    <row r="47" spans="1:5" x14ac:dyDescent="0.2">
      <c r="A47" t="s">
        <v>78</v>
      </c>
      <c r="B47" t="s">
        <v>8</v>
      </c>
      <c r="C47">
        <v>1</v>
      </c>
      <c r="D47" t="s">
        <v>9</v>
      </c>
    </row>
    <row r="48" spans="1:5" x14ac:dyDescent="0.2">
      <c r="A48" t="s">
        <v>79</v>
      </c>
      <c r="B48" t="s">
        <v>80</v>
      </c>
      <c r="C48">
        <f>C44*C40*(C8/C46)</f>
        <v>28.158303158599256</v>
      </c>
      <c r="D48" t="s">
        <v>81</v>
      </c>
    </row>
    <row r="49" spans="1:4" x14ac:dyDescent="0.2">
      <c r="A49" t="s">
        <v>82</v>
      </c>
      <c r="B49" t="s">
        <v>8</v>
      </c>
      <c r="C49">
        <v>0.5</v>
      </c>
      <c r="D49" t="s">
        <v>9</v>
      </c>
    </row>
    <row r="50" spans="1:4" x14ac:dyDescent="0.2">
      <c r="A50" t="s">
        <v>83</v>
      </c>
      <c r="B50" t="s">
        <v>84</v>
      </c>
      <c r="C50">
        <f>(3/2)*C5*C37*C47</f>
        <v>4.4956190872869938E-3</v>
      </c>
      <c r="D50" t="s">
        <v>85</v>
      </c>
    </row>
    <row r="51" spans="1:4" x14ac:dyDescent="0.2">
      <c r="A51" t="s">
        <v>86</v>
      </c>
      <c r="B51" t="s">
        <v>87</v>
      </c>
      <c r="D51" t="s">
        <v>88</v>
      </c>
    </row>
    <row r="52" spans="1:4" x14ac:dyDescent="0.2">
      <c r="A52" t="s">
        <v>89</v>
      </c>
      <c r="B52" t="s">
        <v>90</v>
      </c>
      <c r="D52" t="s">
        <v>6</v>
      </c>
    </row>
    <row r="53" spans="1:4" x14ac:dyDescent="0.2">
      <c r="A53" t="s">
        <v>114</v>
      </c>
      <c r="B53" t="s">
        <v>115</v>
      </c>
      <c r="C53">
        <f>(C38/C19)*1000^2</f>
        <v>185.00490071139893</v>
      </c>
      <c r="D53" t="s">
        <v>81</v>
      </c>
    </row>
    <row r="54" spans="1:4" x14ac:dyDescent="0.2">
      <c r="A54" t="s">
        <v>117</v>
      </c>
      <c r="B54" t="s">
        <v>126</v>
      </c>
      <c r="C54">
        <f>C48/C49</f>
        <v>56.316606317198513</v>
      </c>
      <c r="D54" t="s">
        <v>81</v>
      </c>
    </row>
    <row r="55" spans="1:4" x14ac:dyDescent="0.2">
      <c r="A55" t="s">
        <v>118</v>
      </c>
      <c r="B55" t="s">
        <v>119</v>
      </c>
      <c r="C55">
        <f>C54/C28</f>
        <v>23.186444179417961</v>
      </c>
      <c r="D55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fa545e-6ab3-4693-ba7e-0093980d26aa">
      <Terms xmlns="http://schemas.microsoft.com/office/infopath/2007/PartnerControls"/>
    </lcf76f155ced4ddcb4097134ff3c332f>
    <TaxCatchAll xmlns="e0b53bdb-ad15-4542-b509-5814b2c15ec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FA6AAFA421B9418F78D257C3A7E55F" ma:contentTypeVersion="13" ma:contentTypeDescription="Create a new document." ma:contentTypeScope="" ma:versionID="30b4422dbb140da9a0e48d7138c42df5">
  <xsd:schema xmlns:xsd="http://www.w3.org/2001/XMLSchema" xmlns:xs="http://www.w3.org/2001/XMLSchema" xmlns:p="http://schemas.microsoft.com/office/2006/metadata/properties" xmlns:ns2="f7fa545e-6ab3-4693-ba7e-0093980d26aa" xmlns:ns3="e0b53bdb-ad15-4542-b509-5814b2c15ecb" targetNamespace="http://schemas.microsoft.com/office/2006/metadata/properties" ma:root="true" ma:fieldsID="6845d2288d5cc41e409429ecfe7a8840" ns2:_="" ns3:_="">
    <xsd:import namespace="f7fa545e-6ab3-4693-ba7e-0093980d26aa"/>
    <xsd:import namespace="e0b53bdb-ad15-4542-b509-5814b2c15e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fa545e-6ab3-4693-ba7e-0093980d2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651d785-cc9b-461e-a4c9-c589c330ff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b53bdb-ad15-4542-b509-5814b2c15ec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1481f0-cbe1-4fe5-852c-01962b083b4e}" ma:internalName="TaxCatchAll" ma:showField="CatchAllData" ma:web="e0b53bdb-ad15-4542-b509-5814b2c15e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CCCCF6-0341-4B92-BD10-CAF6FC88D8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128EE4-EA53-4116-ABAA-30D5C3F5828A}">
  <ds:schemaRefs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f7fa545e-6ab3-4693-ba7e-0093980d26aa"/>
    <ds:schemaRef ds:uri="http://schemas.microsoft.com/office/infopath/2007/PartnerControls"/>
    <ds:schemaRef ds:uri="http://schemas.openxmlformats.org/package/2006/metadata/core-properties"/>
    <ds:schemaRef ds:uri="e0b53bdb-ad15-4542-b509-5814b2c15ecb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A75F083-C1A6-410C-BA3E-8DE523A894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LUZAC, SCARLETT (Student)</cp:lastModifiedBy>
  <cp:revision/>
  <dcterms:created xsi:type="dcterms:W3CDTF">2025-10-13T20:51:55Z</dcterms:created>
  <dcterms:modified xsi:type="dcterms:W3CDTF">2025-11-12T15:42:23Z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0x010100C3FA6AAFA421B9418F78D257C3A7E55F</vt:lpwstr>
  </property>
  <property fmtid="{D5CDD505-2E9C-101B-9397-08002B2CF9AE}" pid="3" name="MediaServiceImageTags">
    <vt:lpwstr/>
  </property>
</Properties>
</file>