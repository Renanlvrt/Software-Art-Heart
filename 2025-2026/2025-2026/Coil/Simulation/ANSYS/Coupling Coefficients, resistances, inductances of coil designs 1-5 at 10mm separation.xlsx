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durhamuniversity.sharepoint.com/teams/DUHeartMech/Shared Documents/General/Electrical/General Research/Coil Geometry/"/>
    </mc:Choice>
  </mc:AlternateContent>
  <xr:revisionPtr revIDLastSave="386" documentId="8_{582CAAD7-8DAA-4630-B1F8-DEFFB1089123}" xr6:coauthVersionLast="47" xr6:coauthVersionMax="47" xr10:uidLastSave="{6B28D4E3-92B4-50E7-ACCE-D9FEEB9955EB}"/>
  <bookViews>
    <workbookView xWindow="-110" yWindow="-110" windowWidth="25820" windowHeight="15500" xr2:uid="{7ABAA7DF-87C3-4707-9012-39BE6432B52E}"/>
  </bookViews>
  <sheets>
    <sheet name="Coupling Coefficients, resista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" i="1" l="1"/>
  <c r="X6" i="1"/>
  <c r="X7" i="1"/>
  <c r="X8" i="1"/>
  <c r="X9" i="1"/>
  <c r="X10" i="1"/>
  <c r="X11" i="1"/>
  <c r="X12" i="1"/>
  <c r="X4" i="1"/>
  <c r="W5" i="1"/>
  <c r="W6" i="1"/>
  <c r="W7" i="1"/>
  <c r="W8" i="1"/>
  <c r="W9" i="1"/>
  <c r="W10" i="1"/>
  <c r="W11" i="1"/>
  <c r="W12" i="1"/>
  <c r="W4" i="1"/>
  <c r="R4" i="1"/>
  <c r="K53" i="1"/>
  <c r="K54" i="1"/>
  <c r="K55" i="1"/>
  <c r="K56" i="1"/>
  <c r="K57" i="1"/>
  <c r="K58" i="1"/>
  <c r="K59" i="1"/>
  <c r="K60" i="1"/>
  <c r="K52" i="1"/>
  <c r="K41" i="1"/>
  <c r="K42" i="1"/>
  <c r="K43" i="1"/>
  <c r="K44" i="1"/>
  <c r="K45" i="1"/>
  <c r="K46" i="1"/>
  <c r="K47" i="1"/>
  <c r="K48" i="1"/>
  <c r="K40" i="1"/>
  <c r="K29" i="1"/>
  <c r="K30" i="1"/>
  <c r="K31" i="1"/>
  <c r="K32" i="1"/>
  <c r="K33" i="1"/>
  <c r="K34" i="1"/>
  <c r="K35" i="1"/>
  <c r="K36" i="1"/>
  <c r="K28" i="1"/>
  <c r="K17" i="1"/>
  <c r="K18" i="1"/>
  <c r="K19" i="1"/>
  <c r="K20" i="1"/>
  <c r="K21" i="1"/>
  <c r="K22" i="1"/>
  <c r="K23" i="1"/>
  <c r="K24" i="1"/>
  <c r="K16" i="1"/>
  <c r="J40" i="1"/>
  <c r="J41" i="1"/>
  <c r="J42" i="1"/>
  <c r="J43" i="1"/>
  <c r="J44" i="1"/>
  <c r="J45" i="1"/>
  <c r="J46" i="1"/>
  <c r="J47" i="1"/>
  <c r="J48" i="1"/>
  <c r="J52" i="1"/>
  <c r="J53" i="1"/>
  <c r="J54" i="1"/>
  <c r="J55" i="1"/>
  <c r="J56" i="1"/>
  <c r="J57" i="1"/>
  <c r="J58" i="1"/>
  <c r="J59" i="1"/>
  <c r="J60" i="1"/>
  <c r="J28" i="1"/>
  <c r="J29" i="1"/>
  <c r="J30" i="1"/>
  <c r="J31" i="1"/>
  <c r="J32" i="1"/>
  <c r="J33" i="1"/>
  <c r="J34" i="1"/>
  <c r="J35" i="1"/>
  <c r="J36" i="1"/>
  <c r="J16" i="1"/>
  <c r="J17" i="1"/>
  <c r="J18" i="1"/>
  <c r="J19" i="1"/>
  <c r="J20" i="1"/>
  <c r="J21" i="1"/>
  <c r="J22" i="1"/>
  <c r="J23" i="1"/>
  <c r="J24" i="1"/>
  <c r="K5" i="1"/>
  <c r="K6" i="1"/>
  <c r="K7" i="1"/>
  <c r="K8" i="1"/>
  <c r="K9" i="1"/>
  <c r="K10" i="1"/>
  <c r="K11" i="1"/>
  <c r="K12" i="1"/>
  <c r="K4" i="1"/>
  <c r="J5" i="1"/>
  <c r="J6" i="1"/>
  <c r="J7" i="1"/>
  <c r="J8" i="1"/>
  <c r="J9" i="1"/>
  <c r="J10" i="1"/>
  <c r="J11" i="1"/>
  <c r="J12" i="1"/>
  <c r="J4" i="1"/>
</calcChain>
</file>

<file path=xl/sharedStrings.xml><?xml version="1.0" encoding="utf-8"?>
<sst xmlns="http://schemas.openxmlformats.org/spreadsheetml/2006/main" count="92" uniqueCount="52">
  <si>
    <t>Coil Design 1</t>
  </si>
  <si>
    <t>Parameters:
Primary Coil outer diameter = 66.5mm
Primary Coil inner diameter = 6mm
Secondary Coil outer diameter = 66.5mm
Secondary Coil inner diameter = 6mm
Primary Coil thickness = 2mm
Secondary Coil thickness = 2mm
Wire gaps (distances between wire loops) = 0.5mm
Volume of a spiral coil (no wire attached) = 4261.599126 mm^3
1.0cm between coils</t>
  </si>
  <si>
    <t xml:space="preserve">Number of turns:
Primary Coil = 12
Secondary Coil = 12
</t>
  </si>
  <si>
    <t>Current = 0.182mA</t>
  </si>
  <si>
    <t>length of coil 
= coil volume/(cross-sectional area)
= (4261.599126 mm^3) / (pi*(1^2) mm^2)
= 1356.509133 mm</t>
  </si>
  <si>
    <t>Primary Coil Inductance</t>
  </si>
  <si>
    <t>Mutual Inductance (?)</t>
  </si>
  <si>
    <t>Secondary Coil Inductance</t>
  </si>
  <si>
    <t>Primary Coil Resistance</t>
  </si>
  <si>
    <t>Total Resistance (?)</t>
  </si>
  <si>
    <t>Secondary Coil Resistance</t>
  </si>
  <si>
    <t>Coupling Coefficient</t>
  </si>
  <si>
    <t>secondary</t>
  </si>
  <si>
    <t>figure of merit</t>
  </si>
  <si>
    <t>litz wire 40 AWG 100 strands</t>
  </si>
  <si>
    <t>litz wire AC resistance (mohm)</t>
  </si>
  <si>
    <t>Freq [MHz]</t>
  </si>
  <si>
    <t>Matrix1.L(PrimaryCurrent,PrimaryCurrent) [uH]</t>
  </si>
  <si>
    <t>Matrix1.L(PrimaryCurrent,SecondaryCurrent) [uH]</t>
  </si>
  <si>
    <t>Matrix1.L(SecondaryCurrent,SecondaryCurrent) [uH]</t>
  </si>
  <si>
    <t>Matrix1.R(PrimaryCurrent,PrimaryCurrent) [mOhm]</t>
  </si>
  <si>
    <t>Matrix1.R(PrimaryCurrent,SecondaryCurrent) [mOhm]</t>
  </si>
  <si>
    <t>Matrix1.R(SecondaryCurrent,SecondaryCurrent) [mOhm]</t>
  </si>
  <si>
    <t>Matrix1.CplCoef(PrimaryCurrent,SecondaryCurrent) []</t>
  </si>
  <si>
    <t xml:space="preserve">Quality factor </t>
  </si>
  <si>
    <t>k*Q</t>
  </si>
  <si>
    <t>ohm/m</t>
  </si>
  <si>
    <t>coil length(m)</t>
  </si>
  <si>
    <t xml:space="preserve">coil series dc resistance(ohm) </t>
  </si>
  <si>
    <t>current limit(A)</t>
  </si>
  <si>
    <t xml:space="preserve">strand thickness(mm) </t>
  </si>
  <si>
    <t xml:space="preserve">improvement factor </t>
  </si>
  <si>
    <t xml:space="preserve">primary </t>
  </si>
  <si>
    <t xml:space="preserve">secondary </t>
  </si>
  <si>
    <t xml:space="preserve">appears to have the highest figure of merit </t>
  </si>
  <si>
    <t>Coil Design 2</t>
  </si>
  <si>
    <t xml:space="preserve">Parameters:
Primary Coil outer diameter = 70mm
Primary Coil inner diameter = 66.5mm
Seondary Coil outer diameter = 70mm
Secondary Coil inner diameter = 66.5mm 
Primary Coil thickness = 14.5mm
Secondary Coil thickness = 14.5mm
Wire gaps (distances between wire loops) = 0.5mm
</t>
  </si>
  <si>
    <t>Number of turns:
Primary Coil = 5
Secondary Coil = 5</t>
  </si>
  <si>
    <t>Matrix1.L(PrimaryCurrent,SecondaryCurrent) [nH]</t>
  </si>
  <si>
    <t>Matrix1.R(PrimaryCurrent,SecondaryCurrent) [uOhm]</t>
  </si>
  <si>
    <t xml:space="preserve">quality factor </t>
  </si>
  <si>
    <t xml:space="preserve">negative resistance, result adandon </t>
  </si>
  <si>
    <t>Coil Design 3</t>
  </si>
  <si>
    <t xml:space="preserve">Parameters:
Primary Coil outer diameter = 70mm
Primary Coil inner diameter = 66.5mm
Secondary Coil outer diameter =66.5mm
Secondary Coil inner diameter = 6mm
Primary Coil thickness = 14.5mm
Secondary Coil thickness = 2mm
Wire gaps (distances between wire loops) = 0.5mm
</t>
  </si>
  <si>
    <t>Number of turns:
Primary Coil = 5
Secondary Coil = 12</t>
  </si>
  <si>
    <t>Coil Design 4</t>
  </si>
  <si>
    <t xml:space="preserve">Parameters:
Primary Coil outer diameter = 67.5mm
Primary Coil inner diameter = 22mm
Secondary Coil outer diameter = 66.5mm
Secondary Coil inner diameter = 6mm
Primary Coil thickness = 4.5mm
Secondary Coil thickness = 2mm
Separation between coils in primary coil = 0.5mm
Wire gaps (distances between wire loops) = 0.5mm
</t>
  </si>
  <si>
    <t>Number of turns:
Primary Coil = 9
Secondary Coil = 12</t>
  </si>
  <si>
    <t>quality factor</t>
  </si>
  <si>
    <t>Coil Design 5</t>
  </si>
  <si>
    <t xml:space="preserve">Parameters:
Primary Coil outer diameter = 66.5mm
Primary Coil inner diameter = 6mm
Secondary Coil outer diameter = 66.5mm
Secondary Coil inner diameter = 6mm
Primary Coil thickness = 4.5mm
Secondary Coil thickness = 2mm
Separation between coils in primary coil = 0.5mm
Wire gaps (distances between wire loops) = 0.5mm
</t>
  </si>
  <si>
    <t>Number of turns:
Primary Coil = 12
Secondary Coil =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</si>
</sst>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b/>
      <sz val="11"/>
      <color theme="1"/>
      <name val="Aptos Narrow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4" fillId="0" borderId="0" xfId="0" applyFont="1"/>
    <xf numFmtId="0" fontId="18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9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42294822327287"/>
          <c:y val="0.15962256535188427"/>
          <c:w val="0.80649922250046868"/>
          <c:h val="0.64336476467432324"/>
        </c:manualLayout>
      </c:layout>
      <c:scatterChart>
        <c:scatterStyle val="lineMarker"/>
        <c:varyColors val="0"/>
        <c:ser>
          <c:idx val="0"/>
          <c:order val="0"/>
          <c:tx>
            <c:v>Design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'Coupling Coefficients, resistan'!$A$4:$A$12</c:f>
              <c:numCache>
                <c:formatCode>General</c:formatCode>
                <c:ptCount val="9"/>
                <c:pt idx="0">
                  <c:v>0.05</c:v>
                </c:pt>
                <c:pt idx="1">
                  <c:v>0.1</c:v>
                </c:pt>
                <c:pt idx="2">
                  <c:v>0.3</c:v>
                </c:pt>
                <c:pt idx="3">
                  <c:v>0.5</c:v>
                </c:pt>
                <c:pt idx="4">
                  <c:v>0.7</c:v>
                </c:pt>
                <c:pt idx="5">
                  <c:v>0.9</c:v>
                </c:pt>
                <c:pt idx="6">
                  <c:v>1.1000000000000001</c:v>
                </c:pt>
                <c:pt idx="7">
                  <c:v>1.3</c:v>
                </c:pt>
                <c:pt idx="8">
                  <c:v>1.5</c:v>
                </c:pt>
              </c:numCache>
            </c:numRef>
          </c:xVal>
          <c:yVal>
            <c:numRef>
              <c:f>'Coupling Coefficients, resistan'!$K$4:$K$12</c:f>
              <c:numCache>
                <c:formatCode>General</c:formatCode>
                <c:ptCount val="9"/>
                <c:pt idx="0">
                  <c:v>7.2081812436144155</c:v>
                </c:pt>
                <c:pt idx="1">
                  <c:v>9.645180017513951</c:v>
                </c:pt>
                <c:pt idx="2">
                  <c:v>16.694469012793228</c:v>
                </c:pt>
                <c:pt idx="3">
                  <c:v>22.742215944669081</c:v>
                </c:pt>
                <c:pt idx="4">
                  <c:v>28.493361909368286</c:v>
                </c:pt>
                <c:pt idx="5">
                  <c:v>34.115087772668268</c:v>
                </c:pt>
                <c:pt idx="6">
                  <c:v>39.666324879379914</c:v>
                </c:pt>
                <c:pt idx="7">
                  <c:v>45.173484246575896</c:v>
                </c:pt>
                <c:pt idx="8">
                  <c:v>50.650338352345017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A13-DC43-BE53-DE2707E4C396}"/>
            </c:ext>
          </c:extLst>
        </c:ser>
        <c:ser>
          <c:idx val="1"/>
          <c:order val="1"/>
          <c:tx>
            <c:v>Design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'Coupling Coefficients, resistan'!$A$28:$A$36</c:f>
              <c:numCache>
                <c:formatCode>General</c:formatCode>
                <c:ptCount val="9"/>
                <c:pt idx="0">
                  <c:v>0.05</c:v>
                </c:pt>
                <c:pt idx="1">
                  <c:v>0.1</c:v>
                </c:pt>
                <c:pt idx="2">
                  <c:v>0.3</c:v>
                </c:pt>
                <c:pt idx="3">
                  <c:v>0.5</c:v>
                </c:pt>
                <c:pt idx="4">
                  <c:v>0.7</c:v>
                </c:pt>
                <c:pt idx="5">
                  <c:v>0.9</c:v>
                </c:pt>
                <c:pt idx="6">
                  <c:v>1.1000000000000001</c:v>
                </c:pt>
                <c:pt idx="7">
                  <c:v>1.3</c:v>
                </c:pt>
                <c:pt idx="8">
                  <c:v>1.5</c:v>
                </c:pt>
              </c:numCache>
            </c:numRef>
          </c:xVal>
          <c:yVal>
            <c:numRef>
              <c:f>'Coupling Coefficients, resistan'!$K$28:$K$36</c:f>
              <c:numCache>
                <c:formatCode>General</c:formatCode>
                <c:ptCount val="9"/>
                <c:pt idx="0">
                  <c:v>5.3983452892158992</c:v>
                </c:pt>
                <c:pt idx="1">
                  <c:v>7.3537527971047369</c:v>
                </c:pt>
                <c:pt idx="2">
                  <c:v>12.984067985565339</c:v>
                </c:pt>
                <c:pt idx="3">
                  <c:v>17.822385360006223</c:v>
                </c:pt>
                <c:pt idx="4">
                  <c:v>22.387982482342494</c:v>
                </c:pt>
                <c:pt idx="5">
                  <c:v>26.809387169519677</c:v>
                </c:pt>
                <c:pt idx="6">
                  <c:v>31.137018843512777</c:v>
                </c:pt>
                <c:pt idx="7">
                  <c:v>35.396138672497408</c:v>
                </c:pt>
                <c:pt idx="8">
                  <c:v>39.601644938200373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A13-DC43-BE53-DE2707E4C396}"/>
            </c:ext>
          </c:extLst>
        </c:ser>
        <c:ser>
          <c:idx val="2"/>
          <c:order val="2"/>
          <c:tx>
            <c:v>Design 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5">
                  <a:lumMod val="75000"/>
                </a:schemeClr>
              </a:solidFill>
              <a:ln w="9525">
                <a:solidFill>
                  <a:schemeClr val="accent5">
                    <a:lumMod val="75000"/>
                  </a:schemeClr>
                </a:solidFill>
              </a:ln>
              <a:effectLst/>
            </c:spPr>
          </c:marker>
          <c:dPt>
            <c:idx val="5"/>
            <c:marker>
              <c:symbol val="circle"/>
              <c:size val="3"/>
              <c:spPr>
                <a:solidFill>
                  <a:schemeClr val="accent5">
                    <a:lumMod val="75000"/>
                  </a:schemeClr>
                </a:solidFill>
                <a:ln w="9525">
                  <a:solidFill>
                    <a:schemeClr val="accent5">
                      <a:lumMod val="75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FA13-DC43-BE53-DE2707E4C396}"/>
              </c:ext>
            </c:extLst>
          </c:dPt>
          <c:xVal>
            <c:numRef>
              <c:f>'Coupling Coefficients, resistan'!$A$40:$A$48</c:f>
              <c:numCache>
                <c:formatCode>General</c:formatCode>
                <c:ptCount val="9"/>
                <c:pt idx="0">
                  <c:v>0.05</c:v>
                </c:pt>
                <c:pt idx="1">
                  <c:v>0.1</c:v>
                </c:pt>
                <c:pt idx="2">
                  <c:v>0.3</c:v>
                </c:pt>
                <c:pt idx="3">
                  <c:v>0.5</c:v>
                </c:pt>
                <c:pt idx="4">
                  <c:v>0.7</c:v>
                </c:pt>
                <c:pt idx="5">
                  <c:v>0.9</c:v>
                </c:pt>
                <c:pt idx="6">
                  <c:v>1.1000000000000001</c:v>
                </c:pt>
                <c:pt idx="7">
                  <c:v>1.3</c:v>
                </c:pt>
                <c:pt idx="8">
                  <c:v>1.5</c:v>
                </c:pt>
              </c:numCache>
            </c:numRef>
          </c:xVal>
          <c:yVal>
            <c:numRef>
              <c:f>'Coupling Coefficients, resistan'!$K$40:$K$48</c:f>
              <c:numCache>
                <c:formatCode>General</c:formatCode>
                <c:ptCount val="9"/>
                <c:pt idx="0">
                  <c:v>7.0315923387434447</c:v>
                </c:pt>
                <c:pt idx="1">
                  <c:v>9.4618380279969987</c:v>
                </c:pt>
                <c:pt idx="2">
                  <c:v>16.478429836118273</c:v>
                </c:pt>
                <c:pt idx="3">
                  <c:v>22.467583275637558</c:v>
                </c:pt>
                <c:pt idx="4">
                  <c:v>28.144046734830706</c:v>
                </c:pt>
                <c:pt idx="5">
                  <c:v>33.683322787927217</c:v>
                </c:pt>
                <c:pt idx="6">
                  <c:v>39.148687821743707</c:v>
                </c:pt>
                <c:pt idx="7">
                  <c:v>44.568998459837417</c:v>
                </c:pt>
                <c:pt idx="8">
                  <c:v>49.959463677696547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A13-DC43-BE53-DE2707E4C396}"/>
            </c:ext>
          </c:extLst>
        </c:ser>
        <c:ser>
          <c:idx val="3"/>
          <c:order val="3"/>
          <c:tx>
            <c:v>Design 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'Coupling Coefficients, resistan'!$A$52:$A$60</c:f>
              <c:numCache>
                <c:formatCode>General</c:formatCode>
                <c:ptCount val="9"/>
                <c:pt idx="0">
                  <c:v>0.05</c:v>
                </c:pt>
                <c:pt idx="1">
                  <c:v>0.1</c:v>
                </c:pt>
                <c:pt idx="2">
                  <c:v>0.3</c:v>
                </c:pt>
                <c:pt idx="3">
                  <c:v>0.5</c:v>
                </c:pt>
                <c:pt idx="4">
                  <c:v>0.7</c:v>
                </c:pt>
                <c:pt idx="5">
                  <c:v>0.9</c:v>
                </c:pt>
                <c:pt idx="6">
                  <c:v>1.1000000000000001</c:v>
                </c:pt>
                <c:pt idx="7">
                  <c:v>1.3</c:v>
                </c:pt>
                <c:pt idx="8">
                  <c:v>1.5</c:v>
                </c:pt>
              </c:numCache>
            </c:numRef>
          </c:xVal>
          <c:yVal>
            <c:numRef>
              <c:f>'Coupling Coefficients, resistan'!$K$52:$K$60</c:f>
              <c:numCache>
                <c:formatCode>General</c:formatCode>
                <c:ptCount val="9"/>
                <c:pt idx="0">
                  <c:v>6.3898675266374401</c:v>
                </c:pt>
                <c:pt idx="1">
                  <c:v>8.5420777160405592</c:v>
                </c:pt>
                <c:pt idx="2">
                  <c:v>14.772369784993815</c:v>
                </c:pt>
                <c:pt idx="3">
                  <c:v>20.095166879601798</c:v>
                </c:pt>
                <c:pt idx="4">
                  <c:v>25.132468488806982</c:v>
                </c:pt>
                <c:pt idx="5">
                  <c:v>30.041086983904805</c:v>
                </c:pt>
                <c:pt idx="6">
                  <c:v>34.878151136228766</c:v>
                </c:pt>
                <c:pt idx="7">
                  <c:v>39.670004924375895</c:v>
                </c:pt>
                <c:pt idx="8">
                  <c:v>44.430780130080166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A13-DC43-BE53-DE2707E4C3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2257568"/>
        <c:axId val="898714272"/>
      </c:scatterChart>
      <c:valAx>
        <c:axId val="582257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Operating</a:t>
                </a:r>
                <a:r>
                  <a:rPr lang="en-GB" baseline="0"/>
                  <a:t> Frequency (MHz)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714272"/>
        <c:crosses val="autoZero"/>
        <c:crossBetween val="midCat"/>
      </c:valAx>
      <c:valAx>
        <c:axId val="898714272"/>
        <c:scaling>
          <c:orientation val="minMax"/>
          <c:min val="0.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Figure</a:t>
                </a:r>
                <a:r>
                  <a:rPr lang="en-GB" baseline="0"/>
                  <a:t> of Merit, kQ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2575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322327065625037"/>
          <c:y val="5.6516083993429798E-2"/>
          <c:w val="0.55870881582451115"/>
          <c:h val="7.69788891195670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656126</xdr:colOff>
      <xdr:row>0</xdr:row>
      <xdr:rowOff>61618</xdr:rowOff>
    </xdr:from>
    <xdr:to>
      <xdr:col>1</xdr:col>
      <xdr:colOff>2438085</xdr:colOff>
      <xdr:row>0</xdr:row>
      <xdr:rowOff>1519888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101E4B-E0CB-FDED-501B-CBFD1148C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7446" t="5100" r="60897" b="43744"/>
        <a:stretch/>
      </xdr:blipFill>
      <xdr:spPr>
        <a:xfrm>
          <a:off x="2114274" y="61618"/>
          <a:ext cx="1781959" cy="1444977"/>
        </a:xfrm>
        <a:prstGeom prst="rect">
          <a:avLst/>
        </a:prstGeom>
      </xdr:spPr>
    </xdr:pic>
    <xdr:clientData/>
  </xdr:twoCellAnchor>
  <xdr:twoCellAnchor editAs="oneCell">
    <xdr:from>
      <xdr:col>1</xdr:col>
      <xdr:colOff>752551</xdr:colOff>
      <xdr:row>13</xdr:row>
      <xdr:rowOff>109242</xdr:rowOff>
    </xdr:from>
    <xdr:to>
      <xdr:col>1</xdr:col>
      <xdr:colOff>2453764</xdr:colOff>
      <xdr:row>13</xdr:row>
      <xdr:rowOff>1554929</xdr:rowOff>
    </xdr:to>
    <xdr:pic>
      <xdr:nvPicPr>
        <xdr:cNvPr id="12" name="Picture 3">
          <a:extLst>
            <a:ext uri="{FF2B5EF4-FFF2-40B4-BE49-F238E27FC236}">
              <a16:creationId xmlns:a16="http://schemas.microsoft.com/office/drawing/2014/main" id="{1D368A93-2D3A-A6EB-1146-0454A66F17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9102" t="9633" r="36161" b="50000"/>
        <a:stretch/>
      </xdr:blipFill>
      <xdr:spPr>
        <a:xfrm>
          <a:off x="2093107" y="3801649"/>
          <a:ext cx="1701213" cy="1445687"/>
        </a:xfrm>
        <a:prstGeom prst="rect">
          <a:avLst/>
        </a:prstGeom>
      </xdr:spPr>
    </xdr:pic>
    <xdr:clientData/>
  </xdr:twoCellAnchor>
  <xdr:twoCellAnchor editAs="oneCell">
    <xdr:from>
      <xdr:col>1</xdr:col>
      <xdr:colOff>568794</xdr:colOff>
      <xdr:row>37</xdr:row>
      <xdr:rowOff>84040</xdr:rowOff>
    </xdr:from>
    <xdr:to>
      <xdr:col>1</xdr:col>
      <xdr:colOff>2383209</xdr:colOff>
      <xdr:row>37</xdr:row>
      <xdr:rowOff>1582376</xdr:rowOff>
    </xdr:to>
    <xdr:pic>
      <xdr:nvPicPr>
        <xdr:cNvPr id="7" name="Picture 5">
          <a:extLst>
            <a:ext uri="{FF2B5EF4-FFF2-40B4-BE49-F238E27FC236}">
              <a16:creationId xmlns:a16="http://schemas.microsoft.com/office/drawing/2014/main" id="{68B4B74D-7731-0100-6411-7591C15D0F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9175" t="58305" r="64531"/>
        <a:stretch/>
      </xdr:blipFill>
      <xdr:spPr>
        <a:xfrm>
          <a:off x="1909350" y="10910398"/>
          <a:ext cx="1814415" cy="1498336"/>
        </a:xfrm>
        <a:prstGeom prst="rect">
          <a:avLst/>
        </a:prstGeom>
      </xdr:spPr>
    </xdr:pic>
    <xdr:clientData/>
  </xdr:twoCellAnchor>
  <xdr:twoCellAnchor editAs="oneCell">
    <xdr:from>
      <xdr:col>1</xdr:col>
      <xdr:colOff>597879</xdr:colOff>
      <xdr:row>25</xdr:row>
      <xdr:rowOff>92975</xdr:rowOff>
    </xdr:from>
    <xdr:to>
      <xdr:col>1</xdr:col>
      <xdr:colOff>2824212</xdr:colOff>
      <xdr:row>25</xdr:row>
      <xdr:rowOff>1552222</xdr:rowOff>
    </xdr:to>
    <xdr:pic>
      <xdr:nvPicPr>
        <xdr:cNvPr id="16" name="Picture 6">
          <a:extLst>
            <a:ext uri="{FF2B5EF4-FFF2-40B4-BE49-F238E27FC236}">
              <a16:creationId xmlns:a16="http://schemas.microsoft.com/office/drawing/2014/main" id="{FF1C0C41-995B-06BF-61E0-D142348C2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64358" t="8145" r="7618" b="56644"/>
        <a:stretch/>
      </xdr:blipFill>
      <xdr:spPr>
        <a:xfrm>
          <a:off x="1938435" y="7344518"/>
          <a:ext cx="2226333" cy="1459247"/>
        </a:xfrm>
        <a:prstGeom prst="rect">
          <a:avLst/>
        </a:prstGeom>
      </xdr:spPr>
    </xdr:pic>
    <xdr:clientData/>
  </xdr:twoCellAnchor>
  <xdr:twoCellAnchor editAs="oneCell">
    <xdr:from>
      <xdr:col>1</xdr:col>
      <xdr:colOff>515016</xdr:colOff>
      <xdr:row>49</xdr:row>
      <xdr:rowOff>108654</xdr:rowOff>
    </xdr:from>
    <xdr:to>
      <xdr:col>1</xdr:col>
      <xdr:colOff>2818658</xdr:colOff>
      <xdr:row>49</xdr:row>
      <xdr:rowOff>1654135</xdr:rowOff>
    </xdr:to>
    <xdr:pic>
      <xdr:nvPicPr>
        <xdr:cNvPr id="4" name="Picture 7">
          <a:extLst>
            <a:ext uri="{FF2B5EF4-FFF2-40B4-BE49-F238E27FC236}">
              <a16:creationId xmlns:a16="http://schemas.microsoft.com/office/drawing/2014/main" id="{072258DD-A46C-DAEC-192E-9E5EE77F0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37718" t="57308" r="34951" b="7481"/>
        <a:stretch/>
      </xdr:blipFill>
      <xdr:spPr>
        <a:xfrm>
          <a:off x="1855572" y="14588222"/>
          <a:ext cx="2303642" cy="1545481"/>
        </a:xfrm>
        <a:prstGeom prst="rect">
          <a:avLst/>
        </a:prstGeom>
      </xdr:spPr>
    </xdr:pic>
    <xdr:clientData/>
  </xdr:twoCellAnchor>
  <xdr:twoCellAnchor>
    <xdr:from>
      <xdr:col>15</xdr:col>
      <xdr:colOff>1540776</xdr:colOff>
      <xdr:row>7</xdr:row>
      <xdr:rowOff>94867</xdr:rowOff>
    </xdr:from>
    <xdr:to>
      <xdr:col>19</xdr:col>
      <xdr:colOff>244535</xdr:colOff>
      <xdr:row>14</xdr:row>
      <xdr:rowOff>145668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CCA2C01-0084-C991-F893-F68878222B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5D806-31B0-41D9-B527-34DBFE2F6748}">
  <dimension ref="A1:X70"/>
  <sheetViews>
    <sheetView tabSelected="1" zoomScale="92" zoomScaleNormal="81" workbookViewId="0">
      <selection activeCell="C3" sqref="C3"/>
    </sheetView>
  </sheetViews>
  <sheetFormatPr defaultColWidth="8.85546875" defaultRowHeight="14.45"/>
  <cols>
    <col min="1" max="1" width="19.140625" customWidth="1"/>
    <col min="2" max="2" width="47" customWidth="1"/>
    <col min="3" max="3" width="51.28515625" customWidth="1"/>
    <col min="4" max="4" width="55.140625" customWidth="1"/>
    <col min="5" max="5" width="51" customWidth="1"/>
    <col min="6" max="6" width="51.42578125" customWidth="1"/>
    <col min="7" max="7" width="55.42578125" customWidth="1"/>
    <col min="8" max="8" width="53.42578125" customWidth="1"/>
    <col min="9" max="9" width="12.140625" customWidth="1"/>
    <col min="10" max="10" width="12.5703125" customWidth="1"/>
    <col min="11" max="11" width="11.42578125" customWidth="1"/>
    <col min="16" max="16" width="20.85546875" customWidth="1"/>
    <col min="17" max="17" width="10.5703125" customWidth="1"/>
    <col min="18" max="18" width="24.140625" customWidth="1"/>
    <col min="19" max="19" width="19.85546875" customWidth="1"/>
    <col min="20" max="20" width="17.42578125" customWidth="1"/>
    <col min="22" max="22" width="15.42578125" customWidth="1"/>
    <col min="23" max="23" width="22" customWidth="1"/>
  </cols>
  <sheetData>
    <row r="1" spans="1:24" ht="152.44999999999999" customHeight="1">
      <c r="A1" s="2" t="s">
        <v>0</v>
      </c>
      <c r="C1" s="3" t="s">
        <v>1</v>
      </c>
      <c r="D1" s="3" t="s">
        <v>2</v>
      </c>
      <c r="E1" s="4" t="s">
        <v>3</v>
      </c>
      <c r="F1" s="8" t="s">
        <v>4</v>
      </c>
      <c r="G1" s="7"/>
    </row>
    <row r="2" spans="1:24" ht="15" customHeight="1">
      <c r="A2" s="2"/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J2" t="s">
        <v>12</v>
      </c>
      <c r="K2" t="s">
        <v>13</v>
      </c>
      <c r="P2" s="9" t="s">
        <v>14</v>
      </c>
      <c r="Q2" s="9"/>
      <c r="R2" s="9"/>
      <c r="S2" s="9"/>
      <c r="T2" s="9"/>
      <c r="W2" s="10" t="s">
        <v>15</v>
      </c>
      <c r="X2" s="10"/>
    </row>
    <row r="3" spans="1:24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J3" t="s">
        <v>24</v>
      </c>
      <c r="K3" t="s">
        <v>25</v>
      </c>
      <c r="P3" t="s">
        <v>26</v>
      </c>
      <c r="Q3" t="s">
        <v>27</v>
      </c>
      <c r="R3" t="s">
        <v>28</v>
      </c>
      <c r="S3" t="s">
        <v>29</v>
      </c>
      <c r="T3" t="s">
        <v>30</v>
      </c>
      <c r="V3" t="s">
        <v>31</v>
      </c>
      <c r="W3" t="s">
        <v>32</v>
      </c>
      <c r="X3" t="s">
        <v>33</v>
      </c>
    </row>
    <row r="4" spans="1:24">
      <c r="A4">
        <v>0.05</v>
      </c>
      <c r="B4" s="1">
        <v>3.4046809766088999</v>
      </c>
      <c r="C4" s="1">
        <v>1.3614289910922499</v>
      </c>
      <c r="D4" s="1">
        <v>3.4044814961661598</v>
      </c>
      <c r="E4" s="1">
        <v>59.209911560000002</v>
      </c>
      <c r="F4" s="1">
        <v>28.47726698</v>
      </c>
      <c r="G4" s="1">
        <v>59.334385109999999</v>
      </c>
      <c r="H4" s="1">
        <v>0.399881482376092</v>
      </c>
      <c r="J4">
        <f>(2*PI()*A4*D4)/(G4*10^(-3))</f>
        <v>18.02579404473413</v>
      </c>
      <c r="K4" s="5">
        <f>J4*H4</f>
        <v>7.2081812436144155</v>
      </c>
      <c r="L4" t="s">
        <v>34</v>
      </c>
      <c r="P4">
        <v>3.5400000000000001E-2</v>
      </c>
      <c r="Q4">
        <v>1.36</v>
      </c>
      <c r="R4">
        <f>Q4*P4</f>
        <v>4.8144000000000006E-2</v>
      </c>
      <c r="S4">
        <v>8</v>
      </c>
      <c r="T4">
        <v>3.15E-2</v>
      </c>
      <c r="V4">
        <v>5</v>
      </c>
      <c r="W4">
        <f>E4/5</f>
        <v>11.841982312000001</v>
      </c>
      <c r="X4">
        <f>G4/5</f>
        <v>11.866877022000001</v>
      </c>
    </row>
    <row r="5" spans="1:24">
      <c r="A5">
        <v>0.1</v>
      </c>
      <c r="B5" s="1">
        <v>3.3407154459268402</v>
      </c>
      <c r="C5" s="1">
        <v>1.32782255350426</v>
      </c>
      <c r="D5" s="1">
        <v>3.3401891499191998</v>
      </c>
      <c r="E5" s="1">
        <v>86.207339860000005</v>
      </c>
      <c r="F5" s="1">
        <v>42.93601116</v>
      </c>
      <c r="G5" s="1">
        <v>86.491884479999996</v>
      </c>
      <c r="H5" s="1">
        <v>0.397497835382915</v>
      </c>
      <c r="J5">
        <f t="shared" ref="J5:J60" si="0">(2*PI()*A5*D5)/(G5*10^(-3))</f>
        <v>24.264735953147067</v>
      </c>
      <c r="K5" s="5">
        <f t="shared" ref="K5:K12" si="1">J5*H5</f>
        <v>9.645180017513951</v>
      </c>
      <c r="W5">
        <f t="shared" ref="W5:W12" si="2">E5/5</f>
        <v>17.241467972000002</v>
      </c>
      <c r="X5">
        <f t="shared" ref="X5:X12" si="3">G5/5</f>
        <v>17.298376896000001</v>
      </c>
    </row>
    <row r="6" spans="1:24">
      <c r="A6">
        <v>0.3</v>
      </c>
      <c r="B6" s="1">
        <v>3.2771535265068299</v>
      </c>
      <c r="C6" s="1">
        <v>1.29321837857549</v>
      </c>
      <c r="D6" s="1">
        <v>3.2763143450591099</v>
      </c>
      <c r="E6" s="1">
        <v>145.4491884</v>
      </c>
      <c r="F6" s="1">
        <v>75.989979399999996</v>
      </c>
      <c r="G6" s="1">
        <v>145.9972813</v>
      </c>
      <c r="H6" s="1">
        <v>0.394666889201992</v>
      </c>
      <c r="J6">
        <f t="shared" si="0"/>
        <v>42.300151012285539</v>
      </c>
      <c r="K6" s="5">
        <f t="shared" si="1"/>
        <v>16.694469012793228</v>
      </c>
      <c r="W6">
        <f t="shared" si="2"/>
        <v>29.089837679999999</v>
      </c>
      <c r="X6">
        <f t="shared" si="3"/>
        <v>29.199456259999998</v>
      </c>
    </row>
    <row r="7" spans="1:24">
      <c r="A7">
        <v>0.5</v>
      </c>
      <c r="B7" s="1">
        <v>3.2599525391312798</v>
      </c>
      <c r="C7" s="1">
        <v>1.28364497597995</v>
      </c>
      <c r="D7" s="1">
        <v>3.2590300782576298</v>
      </c>
      <c r="E7" s="1">
        <v>176.63993930000001</v>
      </c>
      <c r="F7" s="1">
        <v>93.603388190000004</v>
      </c>
      <c r="G7" s="1">
        <v>177.2966643</v>
      </c>
      <c r="H7" s="1">
        <v>0.39381758294840202</v>
      </c>
      <c r="J7">
        <f t="shared" si="0"/>
        <v>57.748096909245326</v>
      </c>
      <c r="K7" s="5">
        <f t="shared" si="1"/>
        <v>22.742215944669081</v>
      </c>
      <c r="W7">
        <f t="shared" si="2"/>
        <v>35.32798786</v>
      </c>
      <c r="X7">
        <f t="shared" si="3"/>
        <v>35.459332860000004</v>
      </c>
    </row>
    <row r="8" spans="1:24">
      <c r="A8">
        <v>0.7</v>
      </c>
      <c r="B8" s="1">
        <v>3.2519182081651499</v>
      </c>
      <c r="C8" s="1">
        <v>1.2791399366357501</v>
      </c>
      <c r="D8" s="1">
        <v>3.2509630286151601</v>
      </c>
      <c r="E8" s="1">
        <v>196.7282878</v>
      </c>
      <c r="F8" s="1">
        <v>105.0077454</v>
      </c>
      <c r="G8" s="1">
        <v>197.41878779999999</v>
      </c>
      <c r="H8" s="1">
        <v>0.39340713873102701</v>
      </c>
      <c r="J8">
        <f t="shared" si="0"/>
        <v>72.427160323720599</v>
      </c>
      <c r="K8" s="5">
        <f t="shared" si="1"/>
        <v>28.493361909368286</v>
      </c>
      <c r="W8">
        <f t="shared" si="2"/>
        <v>39.345657559999999</v>
      </c>
      <c r="X8">
        <f t="shared" si="3"/>
        <v>39.483757560000001</v>
      </c>
    </row>
    <row r="9" spans="1:24">
      <c r="A9">
        <v>0.9</v>
      </c>
      <c r="B9" s="1">
        <v>3.2473439471343002</v>
      </c>
      <c r="C9" s="1">
        <v>1.27656457904054</v>
      </c>
      <c r="D9" s="1">
        <v>3.24637428002492</v>
      </c>
      <c r="E9" s="1">
        <v>210.8745021</v>
      </c>
      <c r="F9" s="1">
        <v>113.0647752</v>
      </c>
      <c r="G9" s="1">
        <v>211.56987240000001</v>
      </c>
      <c r="H9" s="1">
        <v>0.39316907467085099</v>
      </c>
      <c r="J9">
        <f t="shared" si="0"/>
        <v>86.76950953283486</v>
      </c>
      <c r="K9" s="5">
        <f t="shared" si="1"/>
        <v>34.115087772668268</v>
      </c>
      <c r="W9">
        <f t="shared" si="2"/>
        <v>42.17490042</v>
      </c>
      <c r="X9">
        <f t="shared" si="3"/>
        <v>42.313974479999999</v>
      </c>
    </row>
    <row r="10" spans="1:24">
      <c r="A10">
        <v>1.1000000000000001</v>
      </c>
      <c r="B10" s="1">
        <v>3.24443806559783</v>
      </c>
      <c r="C10" s="1">
        <v>1.27492410705017</v>
      </c>
      <c r="D10" s="1">
        <v>3.24346140692847</v>
      </c>
      <c r="E10" s="1">
        <v>221.4223169</v>
      </c>
      <c r="F10" s="1">
        <v>119.0883776</v>
      </c>
      <c r="G10" s="1">
        <v>222.11073300000001</v>
      </c>
      <c r="H10" s="1">
        <v>0.39301599135265403</v>
      </c>
      <c r="J10">
        <f t="shared" si="0"/>
        <v>100.92801756706953</v>
      </c>
      <c r="K10" s="5">
        <f t="shared" si="1"/>
        <v>39.666324879379914</v>
      </c>
      <c r="W10">
        <f t="shared" si="2"/>
        <v>44.284463379999998</v>
      </c>
      <c r="X10">
        <f t="shared" si="3"/>
        <v>44.422146600000005</v>
      </c>
    </row>
    <row r="11" spans="1:24">
      <c r="A11">
        <v>1.3</v>
      </c>
      <c r="B11" s="1">
        <v>3.2424549692847302</v>
      </c>
      <c r="C11" s="1">
        <v>1.27380223952208</v>
      </c>
      <c r="D11" s="1">
        <v>3.2414748066124401</v>
      </c>
      <c r="E11" s="1">
        <v>229.61405790000001</v>
      </c>
      <c r="F11" s="1">
        <v>123.7778854</v>
      </c>
      <c r="G11" s="1">
        <v>230.29048169999999</v>
      </c>
      <c r="H11" s="1">
        <v>0.392910564457845</v>
      </c>
      <c r="J11">
        <f t="shared" si="0"/>
        <v>114.97141673680427</v>
      </c>
      <c r="K11" s="5">
        <f t="shared" si="1"/>
        <v>45.173484246575896</v>
      </c>
      <c r="W11">
        <f t="shared" si="2"/>
        <v>45.922811580000001</v>
      </c>
      <c r="X11">
        <f t="shared" si="3"/>
        <v>46.058096339999999</v>
      </c>
    </row>
    <row r="12" spans="1:24">
      <c r="A12">
        <v>1.5</v>
      </c>
      <c r="B12" s="1">
        <v>3.2410305676626501</v>
      </c>
      <c r="C12" s="1">
        <v>1.2729950160424399</v>
      </c>
      <c r="D12" s="1">
        <v>3.2400486723042801</v>
      </c>
      <c r="E12" s="1">
        <v>236.17454330000001</v>
      </c>
      <c r="F12" s="1">
        <v>127.5420549</v>
      </c>
      <c r="G12" s="1">
        <v>236.8370721</v>
      </c>
      <c r="H12" s="1">
        <v>0.392834274514545</v>
      </c>
      <c r="J12">
        <f t="shared" si="0"/>
        <v>128.93563937346727</v>
      </c>
      <c r="K12" s="5">
        <f t="shared" si="1"/>
        <v>50.650338352345017</v>
      </c>
      <c r="W12">
        <f t="shared" si="2"/>
        <v>47.234908660000002</v>
      </c>
      <c r="X12">
        <f t="shared" si="3"/>
        <v>47.367414420000003</v>
      </c>
    </row>
    <row r="14" spans="1:24" ht="123.95" customHeight="1">
      <c r="A14" s="2" t="s">
        <v>35</v>
      </c>
      <c r="C14" s="3" t="s">
        <v>36</v>
      </c>
      <c r="D14" s="3" t="s">
        <v>37</v>
      </c>
      <c r="E14" s="4" t="s">
        <v>3</v>
      </c>
    </row>
    <row r="15" spans="1:24">
      <c r="A15" t="s">
        <v>16</v>
      </c>
      <c r="B15" t="s">
        <v>17</v>
      </c>
      <c r="C15" t="s">
        <v>38</v>
      </c>
      <c r="D15" t="s">
        <v>19</v>
      </c>
      <c r="E15" t="s">
        <v>20</v>
      </c>
      <c r="F15" t="s">
        <v>39</v>
      </c>
      <c r="G15" t="s">
        <v>22</v>
      </c>
      <c r="H15" t="s">
        <v>23</v>
      </c>
      <c r="J15" t="s">
        <v>40</v>
      </c>
      <c r="K15" t="s">
        <v>25</v>
      </c>
    </row>
    <row r="16" spans="1:24">
      <c r="A16">
        <v>0.05</v>
      </c>
      <c r="B16" s="1">
        <v>2.5353225549065699</v>
      </c>
      <c r="C16" s="1">
        <v>607.89212732101498</v>
      </c>
      <c r="D16" s="1">
        <v>2.5345718710985601</v>
      </c>
      <c r="E16" s="1">
        <v>16.153019799999999</v>
      </c>
      <c r="F16" s="1">
        <v>-221.7408543</v>
      </c>
      <c r="G16" s="1">
        <v>16.1682317</v>
      </c>
      <c r="H16" s="1">
        <v>0.23980465189436601</v>
      </c>
      <c r="J16">
        <f t="shared" si="0"/>
        <v>49.248381133965147</v>
      </c>
      <c r="K16" s="6">
        <f>J16*H16</f>
        <v>11.809990894191575</v>
      </c>
      <c r="L16" t="s">
        <v>41</v>
      </c>
    </row>
    <row r="17" spans="1:11">
      <c r="A17">
        <v>0.1</v>
      </c>
      <c r="B17" s="1">
        <v>2.5223032100162599</v>
      </c>
      <c r="C17" s="1">
        <v>608.12011933327994</v>
      </c>
      <c r="D17" s="1">
        <v>2.5216104744701</v>
      </c>
      <c r="E17" s="1">
        <v>21.507454809999999</v>
      </c>
      <c r="F17" s="1">
        <v>-300.31533940000003</v>
      </c>
      <c r="G17" s="1">
        <v>21.4707027</v>
      </c>
      <c r="H17" s="1">
        <v>0.24113026634021201</v>
      </c>
      <c r="J17">
        <f t="shared" si="0"/>
        <v>73.792395642554709</v>
      </c>
      <c r="K17" s="6">
        <f t="shared" ref="K17:K24" si="4">J17*H17</f>
        <v>17.793580015171518</v>
      </c>
    </row>
    <row r="18" spans="1:11">
      <c r="A18">
        <v>0.3</v>
      </c>
      <c r="B18" s="1">
        <v>2.51012624218715</v>
      </c>
      <c r="C18" s="1">
        <v>608.32420606839605</v>
      </c>
      <c r="D18" s="1">
        <v>2.5095602615845598</v>
      </c>
      <c r="E18" s="1">
        <v>32.086567969999997</v>
      </c>
      <c r="F18" s="1">
        <v>-491.90202670000002</v>
      </c>
      <c r="G18" s="1">
        <v>31.986686850000002</v>
      </c>
      <c r="H18" s="1">
        <v>0.24237537921069</v>
      </c>
      <c r="J18">
        <f t="shared" si="0"/>
        <v>147.88682776381259</v>
      </c>
      <c r="K18" s="6">
        <f t="shared" si="4"/>
        <v>35.844125959520078</v>
      </c>
    </row>
    <row r="19" spans="1:11">
      <c r="A19">
        <v>0.5</v>
      </c>
      <c r="B19" s="1">
        <v>2.5070583207316002</v>
      </c>
      <c r="C19" s="1">
        <v>608.38006205548504</v>
      </c>
      <c r="D19" s="1">
        <v>2.5065078337263902</v>
      </c>
      <c r="E19" s="1">
        <v>37.458004260000003</v>
      </c>
      <c r="F19" s="1">
        <v>-597.71268650000002</v>
      </c>
      <c r="G19" s="1">
        <v>37.435765099999998</v>
      </c>
      <c r="H19" s="1">
        <v>0.24269354267194199</v>
      </c>
      <c r="J19">
        <f t="shared" si="0"/>
        <v>210.34501567059183</v>
      </c>
      <c r="K19" s="6">
        <f t="shared" si="4"/>
        <v>51.049377036481083</v>
      </c>
    </row>
    <row r="20" spans="1:11">
      <c r="A20">
        <v>0.7</v>
      </c>
      <c r="B20" s="1">
        <v>2.5056467888137899</v>
      </c>
      <c r="C20" s="1">
        <v>608.40687199700301</v>
      </c>
      <c r="D20" s="1">
        <v>2.5050879580500398</v>
      </c>
      <c r="E20" s="1">
        <v>40.935457290000002</v>
      </c>
      <c r="F20" s="1">
        <v>-669.68844249999995</v>
      </c>
      <c r="G20" s="1">
        <v>41.018667690000001</v>
      </c>
      <c r="H20" s="1">
        <v>0.24284138215919099</v>
      </c>
      <c r="J20">
        <f t="shared" si="0"/>
        <v>268.60824391268193</v>
      </c>
      <c r="K20" s="6">
        <f t="shared" si="4"/>
        <v>65.229197211108783</v>
      </c>
    </row>
    <row r="21" spans="1:11">
      <c r="A21">
        <v>0.9</v>
      </c>
      <c r="B21" s="1">
        <v>2.5048427908717401</v>
      </c>
      <c r="C21" s="1">
        <v>608.42265719781903</v>
      </c>
      <c r="D21" s="1">
        <v>2.50427188241036</v>
      </c>
      <c r="E21" s="1">
        <v>43.385426649999999</v>
      </c>
      <c r="F21" s="1">
        <v>-722.05475779999995</v>
      </c>
      <c r="G21" s="1">
        <v>43.568343380000002</v>
      </c>
      <c r="H21" s="1">
        <v>0.24292622582380899</v>
      </c>
      <c r="J21">
        <f t="shared" si="0"/>
        <v>325.03700550547222</v>
      </c>
      <c r="K21" s="6">
        <f t="shared" si="4"/>
        <v>78.960013000516994</v>
      </c>
    </row>
    <row r="22" spans="1:11">
      <c r="A22">
        <v>1.1000000000000001</v>
      </c>
      <c r="B22" s="1">
        <v>2.5043315183630299</v>
      </c>
      <c r="C22" s="1">
        <v>608.432945841628</v>
      </c>
      <c r="D22" s="1">
        <v>2.5037494165608201</v>
      </c>
      <c r="E22" s="1">
        <v>45.19332387</v>
      </c>
      <c r="F22" s="1">
        <v>-761.45840339999995</v>
      </c>
      <c r="G22" s="1">
        <v>45.462830230000002</v>
      </c>
      <c r="H22" s="1">
        <v>0.242980478094387</v>
      </c>
      <c r="J22">
        <f t="shared" si="0"/>
        <v>380.63344525952641</v>
      </c>
      <c r="K22" s="6">
        <f t="shared" si="4"/>
        <v>92.486496507873412</v>
      </c>
    </row>
    <row r="23" spans="1:11">
      <c r="A23">
        <v>1.3</v>
      </c>
      <c r="B23" s="1">
        <v>2.5039832726111002</v>
      </c>
      <c r="C23" s="1">
        <v>608.44007831925296</v>
      </c>
      <c r="D23" s="1">
        <v>2.5033917368929699</v>
      </c>
      <c r="E23" s="1">
        <v>46.57244266</v>
      </c>
      <c r="F23" s="1">
        <v>-791.84739349999995</v>
      </c>
      <c r="G23" s="1">
        <v>46.91562957</v>
      </c>
      <c r="H23" s="1">
        <v>0.24301758163106699</v>
      </c>
      <c r="J23">
        <f t="shared" si="0"/>
        <v>435.84742697866989</v>
      </c>
      <c r="K23" s="6">
        <f t="shared" si="4"/>
        <v>105.91858766447942</v>
      </c>
    </row>
    <row r="24" spans="1:11">
      <c r="A24">
        <v>1.5</v>
      </c>
      <c r="B24" s="1">
        <v>2.5037343356416102</v>
      </c>
      <c r="C24" s="1">
        <v>608.44523924236898</v>
      </c>
      <c r="D24" s="1">
        <v>2.5031350407288402</v>
      </c>
      <c r="E24" s="1">
        <v>47.653003929999997</v>
      </c>
      <c r="F24" s="1">
        <v>-815.79486220000001</v>
      </c>
      <c r="G24" s="1">
        <v>48.058971530000001</v>
      </c>
      <c r="H24" s="1">
        <v>0.24304418504401701</v>
      </c>
      <c r="J24">
        <f t="shared" si="0"/>
        <v>490.88632597899323</v>
      </c>
      <c r="K24" s="6">
        <f t="shared" si="4"/>
        <v>119.30706704681609</v>
      </c>
    </row>
    <row r="26" spans="1:11" ht="125.45" customHeight="1">
      <c r="A26" s="2" t="s">
        <v>42</v>
      </c>
      <c r="C26" s="3" t="s">
        <v>43</v>
      </c>
      <c r="D26" s="3" t="s">
        <v>44</v>
      </c>
      <c r="E26" s="4" t="s">
        <v>3</v>
      </c>
    </row>
    <row r="27" spans="1:11">
      <c r="A27" t="s">
        <v>16</v>
      </c>
      <c r="B27" t="s">
        <v>17</v>
      </c>
      <c r="C27" t="s">
        <v>38</v>
      </c>
      <c r="D27" t="s">
        <v>19</v>
      </c>
      <c r="E27" t="s">
        <v>20</v>
      </c>
      <c r="F27" t="s">
        <v>21</v>
      </c>
      <c r="G27" t="s">
        <v>22</v>
      </c>
      <c r="H27" t="s">
        <v>23</v>
      </c>
      <c r="J27" t="s">
        <v>40</v>
      </c>
      <c r="K27" t="s">
        <v>25</v>
      </c>
    </row>
    <row r="28" spans="1:11">
      <c r="A28">
        <v>0.05</v>
      </c>
      <c r="B28" s="1">
        <v>2.5161032495056999</v>
      </c>
      <c r="C28" s="1">
        <v>772.79143921987497</v>
      </c>
      <c r="D28" s="1">
        <v>3.4706955619034798</v>
      </c>
      <c r="E28" s="1">
        <v>18.542922430000001</v>
      </c>
      <c r="F28" s="1">
        <v>7.0236853799999999</v>
      </c>
      <c r="G28" s="1">
        <v>52.819653340000002</v>
      </c>
      <c r="H28" s="1">
        <v>0.26151091056821602</v>
      </c>
      <c r="J28">
        <f t="shared" si="0"/>
        <v>20.642906552106254</v>
      </c>
      <c r="K28">
        <f>J28*H28</f>
        <v>5.3983452892158992</v>
      </c>
    </row>
    <row r="29" spans="1:11">
      <c r="A29">
        <v>0.1</v>
      </c>
      <c r="B29" s="1">
        <v>2.4999349622220399</v>
      </c>
      <c r="C29" s="1">
        <v>764.17516621210996</v>
      </c>
      <c r="D29" s="1">
        <v>3.41405909384186</v>
      </c>
      <c r="E29" s="1">
        <v>25.243571410000001</v>
      </c>
      <c r="F29" s="1">
        <v>10.686059439999999</v>
      </c>
      <c r="G29" s="1">
        <v>76.301824670000002</v>
      </c>
      <c r="H29" s="1">
        <v>0.26157308104287302</v>
      </c>
      <c r="J29">
        <f t="shared" si="0"/>
        <v>28.113568750216402</v>
      </c>
      <c r="K29">
        <f t="shared" ref="K29:K36" si="5">J29*H29</f>
        <v>7.3537527971047369</v>
      </c>
    </row>
    <row r="30" spans="1:11">
      <c r="A30">
        <v>0.3</v>
      </c>
      <c r="B30" s="1">
        <v>2.4846527599238599</v>
      </c>
      <c r="C30" s="1">
        <v>755.36661144884204</v>
      </c>
      <c r="D30" s="1">
        <v>3.35858782591303</v>
      </c>
      <c r="E30" s="1">
        <v>38.320513140000003</v>
      </c>
      <c r="F30" s="1">
        <v>19.119490410000001</v>
      </c>
      <c r="G30" s="1">
        <v>127.4951399</v>
      </c>
      <c r="H30" s="1">
        <v>0.261484878005317</v>
      </c>
      <c r="J30">
        <f t="shared" si="0"/>
        <v>49.655139083420814</v>
      </c>
      <c r="K30">
        <f t="shared" si="5"/>
        <v>12.984067985565339</v>
      </c>
    </row>
    <row r="31" spans="1:11">
      <c r="A31">
        <v>0.5</v>
      </c>
      <c r="B31" s="1">
        <v>2.48088013036703</v>
      </c>
      <c r="C31" s="1">
        <v>752.94064567100099</v>
      </c>
      <c r="D31" s="1">
        <v>3.3437865088171699</v>
      </c>
      <c r="E31" s="1">
        <v>44.672310779999997</v>
      </c>
      <c r="F31" s="1">
        <v>23.582863020000001</v>
      </c>
      <c r="G31" s="1">
        <v>154.08528469999999</v>
      </c>
      <c r="H31" s="1">
        <v>0.26141986202635498</v>
      </c>
      <c r="J31">
        <f t="shared" si="0"/>
        <v>68.175329991603562</v>
      </c>
      <c r="K31">
        <f t="shared" si="5"/>
        <v>17.822385360006223</v>
      </c>
    </row>
    <row r="32" spans="1:11">
      <c r="A32">
        <v>0.7</v>
      </c>
      <c r="B32" s="1">
        <v>2.4791895073045902</v>
      </c>
      <c r="C32" s="1">
        <v>751.80719038150198</v>
      </c>
      <c r="D32" s="1">
        <v>3.3369365967216198</v>
      </c>
      <c r="E32" s="1">
        <v>48.696739559999997</v>
      </c>
      <c r="F32" s="1">
        <v>26.525055999999999</v>
      </c>
      <c r="G32" s="1">
        <v>171.3517483</v>
      </c>
      <c r="H32" s="1">
        <v>0.26138317860614402</v>
      </c>
      <c r="J32">
        <f t="shared" si="0"/>
        <v>85.651963533877719</v>
      </c>
      <c r="K32">
        <f t="shared" si="5"/>
        <v>22.387982482342494</v>
      </c>
    </row>
    <row r="33" spans="1:11">
      <c r="A33">
        <v>0.9</v>
      </c>
      <c r="B33" s="1">
        <v>2.4782438451548101</v>
      </c>
      <c r="C33" s="1">
        <v>751.15716710962795</v>
      </c>
      <c r="D33" s="1">
        <v>3.3330385024099098</v>
      </c>
      <c r="E33" s="1">
        <v>51.538671370000003</v>
      </c>
      <c r="F33" s="1">
        <v>28.67254818</v>
      </c>
      <c r="G33" s="1">
        <v>183.74454460000001</v>
      </c>
      <c r="H33" s="1">
        <v>0.261359705428103</v>
      </c>
      <c r="J33">
        <f t="shared" si="0"/>
        <v>102.57658932392172</v>
      </c>
      <c r="K33">
        <f t="shared" si="5"/>
        <v>26.809387169519677</v>
      </c>
    </row>
    <row r="34" spans="1:11">
      <c r="A34">
        <v>1.1000000000000001</v>
      </c>
      <c r="B34" s="1">
        <v>2.4776474989581398</v>
      </c>
      <c r="C34" s="1">
        <v>750.73906455660699</v>
      </c>
      <c r="D34" s="1">
        <v>3.33055115401987</v>
      </c>
      <c r="E34" s="1">
        <v>53.674825509999998</v>
      </c>
      <c r="F34" s="1">
        <v>30.341783840000002</v>
      </c>
      <c r="G34" s="1">
        <v>193.20698970000001</v>
      </c>
      <c r="H34" s="1">
        <v>0.26134319823004198</v>
      </c>
      <c r="J34">
        <f t="shared" si="0"/>
        <v>119.14225835755272</v>
      </c>
      <c r="K34">
        <f t="shared" si="5"/>
        <v>31.137018843512777</v>
      </c>
    </row>
    <row r="35" spans="1:11">
      <c r="A35">
        <v>1.3</v>
      </c>
      <c r="B35" s="1">
        <v>2.4772415871507301</v>
      </c>
      <c r="C35" s="1">
        <v>750.44918888534198</v>
      </c>
      <c r="D35" s="1">
        <v>3.3288412462462098</v>
      </c>
      <c r="E35" s="1">
        <v>55.34980608</v>
      </c>
      <c r="F35" s="1">
        <v>31.695863679999999</v>
      </c>
      <c r="G35" s="1">
        <v>200.74788860000001</v>
      </c>
      <c r="H35" s="1">
        <v>0.26133078285278799</v>
      </c>
      <c r="J35">
        <f t="shared" si="0"/>
        <v>135.44573006707995</v>
      </c>
      <c r="K35">
        <f t="shared" si="5"/>
        <v>35.396138672497408</v>
      </c>
    </row>
    <row r="36" spans="1:11">
      <c r="A36">
        <v>1.5</v>
      </c>
      <c r="B36" s="1">
        <v>2.4769500892284602</v>
      </c>
      <c r="C36" s="1">
        <v>750.23722695509798</v>
      </c>
      <c r="D36" s="1">
        <v>3.3276019103055301</v>
      </c>
      <c r="E36" s="1">
        <v>56.704849809999999</v>
      </c>
      <c r="F36" s="1">
        <v>32.828304950000003</v>
      </c>
      <c r="G36" s="1">
        <v>206.9491117</v>
      </c>
      <c r="H36" s="1">
        <v>0.26132099304113998</v>
      </c>
      <c r="J36">
        <f t="shared" si="0"/>
        <v>151.54406263857206</v>
      </c>
      <c r="K36">
        <f t="shared" si="5"/>
        <v>39.601644938200373</v>
      </c>
    </row>
    <row r="38" spans="1:11" ht="131.44999999999999" customHeight="1">
      <c r="A38" s="2" t="s">
        <v>45</v>
      </c>
      <c r="C38" s="3" t="s">
        <v>46</v>
      </c>
      <c r="D38" s="3" t="s">
        <v>47</v>
      </c>
      <c r="E38" s="4" t="s">
        <v>3</v>
      </c>
    </row>
    <row r="39" spans="1:11">
      <c r="A39" t="s">
        <v>16</v>
      </c>
      <c r="B39" t="s">
        <v>17</v>
      </c>
      <c r="C39" t="s">
        <v>18</v>
      </c>
      <c r="D39" t="s">
        <v>19</v>
      </c>
      <c r="E39" t="s">
        <v>20</v>
      </c>
      <c r="F39" t="s">
        <v>21</v>
      </c>
      <c r="G39" t="s">
        <v>22</v>
      </c>
      <c r="H39" t="s">
        <v>23</v>
      </c>
      <c r="J39" t="s">
        <v>48</v>
      </c>
      <c r="K39" t="s">
        <v>25</v>
      </c>
    </row>
    <row r="40" spans="1:11">
      <c r="A40">
        <v>0.05</v>
      </c>
      <c r="B40" s="1">
        <v>11.390401483187301</v>
      </c>
      <c r="C40" s="1">
        <v>2.4340191897147898</v>
      </c>
      <c r="D40" s="1">
        <v>3.3941935923431799</v>
      </c>
      <c r="E40" s="1">
        <v>183.13078659999999</v>
      </c>
      <c r="F40" s="1">
        <v>47.10328792</v>
      </c>
      <c r="G40" s="1">
        <v>59.363428419999998</v>
      </c>
      <c r="H40" s="1">
        <v>0.39145890520205701</v>
      </c>
      <c r="J40">
        <f t="shared" si="0"/>
        <v>17.962530026271825</v>
      </c>
      <c r="K40">
        <f>H40*J40</f>
        <v>7.0315923387434447</v>
      </c>
    </row>
    <row r="41" spans="1:11">
      <c r="A41">
        <v>0.1</v>
      </c>
      <c r="B41" s="1">
        <v>11.201775040551899</v>
      </c>
      <c r="C41" s="1">
        <v>2.3795908529283301</v>
      </c>
      <c r="D41" s="1">
        <v>3.3306561948415498</v>
      </c>
      <c r="E41" s="1">
        <v>262.00720690000003</v>
      </c>
      <c r="F41" s="1">
        <v>70.456411630000005</v>
      </c>
      <c r="G41" s="1">
        <v>86.164451769999999</v>
      </c>
      <c r="H41" s="1">
        <v>0.38957758843214901</v>
      </c>
      <c r="J41">
        <f t="shared" si="0"/>
        <v>24.287429022999163</v>
      </c>
      <c r="K41">
        <f t="shared" ref="K41:K48" si="6">H41*J41</f>
        <v>9.4618380279969987</v>
      </c>
    </row>
    <row r="42" spans="1:11">
      <c r="A42">
        <v>0.3</v>
      </c>
      <c r="B42" s="1">
        <v>11.014164997495101</v>
      </c>
      <c r="C42" s="1">
        <v>2.32374710053129</v>
      </c>
      <c r="D42" s="1">
        <v>3.2676437118486001</v>
      </c>
      <c r="E42" s="1">
        <v>436.34371970000001</v>
      </c>
      <c r="F42" s="1">
        <v>123.715553</v>
      </c>
      <c r="G42" s="1">
        <v>144.78238160000001</v>
      </c>
      <c r="H42" s="1">
        <v>0.38734301018114897</v>
      </c>
      <c r="J42">
        <f t="shared" si="0"/>
        <v>42.542215563440259</v>
      </c>
      <c r="K42">
        <f t="shared" si="6"/>
        <v>16.478429836118273</v>
      </c>
    </row>
    <row r="43" spans="1:11">
      <c r="A43">
        <v>0.5</v>
      </c>
      <c r="B43" s="1">
        <v>10.963548040827201</v>
      </c>
      <c r="C43" s="1">
        <v>2.30831956402361</v>
      </c>
      <c r="D43" s="1">
        <v>3.25062180161077</v>
      </c>
      <c r="E43" s="1">
        <v>528.19975020000004</v>
      </c>
      <c r="F43" s="1">
        <v>152.3336869</v>
      </c>
      <c r="G43" s="1">
        <v>175.75071679999999</v>
      </c>
      <c r="H43" s="1">
        <v>0.38666703529319102</v>
      </c>
      <c r="J43">
        <f t="shared" si="0"/>
        <v>58.105763421496405</v>
      </c>
      <c r="K43">
        <f t="shared" si="6"/>
        <v>22.467583275637558</v>
      </c>
    </row>
    <row r="44" spans="1:11">
      <c r="A44">
        <v>0.7</v>
      </c>
      <c r="B44" s="1">
        <v>10.939894238252201</v>
      </c>
      <c r="C44" s="1">
        <v>2.3010253829348901</v>
      </c>
      <c r="D44" s="1">
        <v>3.2426550722154901</v>
      </c>
      <c r="E44" s="1">
        <v>587.5335728</v>
      </c>
      <c r="F44" s="1">
        <v>171.025036</v>
      </c>
      <c r="G44" s="1">
        <v>195.77471030000001</v>
      </c>
      <c r="H44" s="1">
        <v>0.38633536982947903</v>
      </c>
      <c r="J44">
        <f t="shared" si="0"/>
        <v>72.848744724701092</v>
      </c>
      <c r="K44">
        <f t="shared" si="6"/>
        <v>28.144046734830706</v>
      </c>
    </row>
    <row r="45" spans="1:11">
      <c r="A45">
        <v>0.9</v>
      </c>
      <c r="B45" s="1">
        <v>10.9264088470009</v>
      </c>
      <c r="C45" s="1">
        <v>2.2968356681356199</v>
      </c>
      <c r="D45" s="1">
        <v>3.2381092558497002</v>
      </c>
      <c r="E45" s="1">
        <v>629.43310580000002</v>
      </c>
      <c r="F45" s="1">
        <v>184.31671170000001</v>
      </c>
      <c r="G45" s="1">
        <v>209.9154479</v>
      </c>
      <c r="H45" s="1">
        <v>0.38614058596197698</v>
      </c>
      <c r="J45">
        <f t="shared" si="0"/>
        <v>87.230723763505125</v>
      </c>
      <c r="K45">
        <f t="shared" si="6"/>
        <v>33.683322787927217</v>
      </c>
    </row>
    <row r="46" spans="1:11">
      <c r="A46">
        <v>1.1000000000000001</v>
      </c>
      <c r="B46" s="1">
        <v>10.917828448467599</v>
      </c>
      <c r="C46" s="1">
        <v>2.2941557377767401</v>
      </c>
      <c r="D46" s="1">
        <v>3.23521578444858</v>
      </c>
      <c r="E46" s="1">
        <v>660.73851179999997</v>
      </c>
      <c r="F46" s="1">
        <v>194.29908420000001</v>
      </c>
      <c r="G46" s="1">
        <v>220.47620929999999</v>
      </c>
      <c r="H46" s="1">
        <v>0.38601407205705202</v>
      </c>
      <c r="J46">
        <f t="shared" si="0"/>
        <v>101.41777374364119</v>
      </c>
      <c r="K46">
        <f t="shared" si="6"/>
        <v>39.148687821743707</v>
      </c>
    </row>
    <row r="47" spans="1:11">
      <c r="A47">
        <v>1.3</v>
      </c>
      <c r="B47" s="1">
        <v>10.9119641700934</v>
      </c>
      <c r="C47" s="1">
        <v>2.2923166863993298</v>
      </c>
      <c r="D47" s="1">
        <v>3.23323806547854</v>
      </c>
      <c r="E47" s="1">
        <v>685.07839539999998</v>
      </c>
      <c r="F47" s="1">
        <v>202.09275890000001</v>
      </c>
      <c r="G47" s="1">
        <v>228.68218730000001</v>
      </c>
      <c r="H47" s="1">
        <v>0.38592624025329098</v>
      </c>
      <c r="J47">
        <f t="shared" si="0"/>
        <v>115.4857944631749</v>
      </c>
      <c r="K47">
        <f t="shared" si="6"/>
        <v>44.568998459837417</v>
      </c>
    </row>
    <row r="48" spans="1:11">
      <c r="A48">
        <v>1.5</v>
      </c>
      <c r="B48" s="1">
        <v>10.9077468482035</v>
      </c>
      <c r="C48" s="1">
        <v>2.2909897661996999</v>
      </c>
      <c r="D48" s="1">
        <v>3.2318158937713899</v>
      </c>
      <c r="E48" s="1">
        <v>704.57592580000005</v>
      </c>
      <c r="F48" s="1">
        <v>208.35785129999999</v>
      </c>
      <c r="G48" s="1">
        <v>235.25143990000001</v>
      </c>
      <c r="H48" s="1">
        <v>0.38586227270943102</v>
      </c>
      <c r="J48">
        <f t="shared" si="0"/>
        <v>129.47485984284845</v>
      </c>
      <c r="K48">
        <f t="shared" si="6"/>
        <v>49.959463677696547</v>
      </c>
    </row>
    <row r="50" spans="1:11" ht="136.5" customHeight="1">
      <c r="A50" s="2" t="s">
        <v>49</v>
      </c>
      <c r="C50" s="3" t="s">
        <v>50</v>
      </c>
      <c r="D50" s="3" t="s">
        <v>51</v>
      </c>
      <c r="E50" s="4" t="s">
        <v>3</v>
      </c>
    </row>
    <row r="51" spans="1:11">
      <c r="A51" t="s">
        <v>16</v>
      </c>
      <c r="B51" t="s">
        <v>17</v>
      </c>
      <c r="C51" t="s">
        <v>18</v>
      </c>
      <c r="D51" t="s">
        <v>19</v>
      </c>
      <c r="E51" t="s">
        <v>20</v>
      </c>
      <c r="F51" t="s">
        <v>21</v>
      </c>
      <c r="G51" t="s">
        <v>22</v>
      </c>
      <c r="H51" t="s">
        <v>23</v>
      </c>
      <c r="J51" t="s">
        <v>40</v>
      </c>
      <c r="K51" t="s">
        <v>25</v>
      </c>
    </row>
    <row r="52" spans="1:11">
      <c r="A52">
        <v>0.05</v>
      </c>
      <c r="B52" s="1">
        <v>11.744450191593099</v>
      </c>
      <c r="C52" s="1">
        <v>2.3879763238432701</v>
      </c>
      <c r="D52" s="1">
        <v>3.3664095045385101</v>
      </c>
      <c r="E52" s="1">
        <v>285.55023829999999</v>
      </c>
      <c r="F52" s="1">
        <v>66.895175120000005</v>
      </c>
      <c r="G52" s="1">
        <v>62.857218869999997</v>
      </c>
      <c r="H52" s="1">
        <v>0.37977834642131297</v>
      </c>
      <c r="J52">
        <f t="shared" si="0"/>
        <v>16.825255012166338</v>
      </c>
      <c r="K52">
        <f>J52*H52</f>
        <v>6.3898675266374401</v>
      </c>
    </row>
    <row r="53" spans="1:11">
      <c r="A53">
        <v>0.1</v>
      </c>
      <c r="B53" s="1">
        <v>11.429854871145899</v>
      </c>
      <c r="C53" s="1">
        <v>2.30967166855456</v>
      </c>
      <c r="D53" s="1">
        <v>3.2990227228903599</v>
      </c>
      <c r="E53" s="1">
        <v>420.05438950000001</v>
      </c>
      <c r="F53" s="1">
        <v>100.5186727</v>
      </c>
      <c r="G53" s="1">
        <v>91.272278560000004</v>
      </c>
      <c r="H53" s="1">
        <v>0.37612936057488999</v>
      </c>
      <c r="J53">
        <f t="shared" si="0"/>
        <v>22.710478392286454</v>
      </c>
      <c r="K53">
        <f t="shared" ref="K53:K60" si="7">J53*H53</f>
        <v>8.5420777160405592</v>
      </c>
    </row>
    <row r="54" spans="1:11">
      <c r="A54">
        <v>0.3</v>
      </c>
      <c r="B54" s="1">
        <v>11.1122545009934</v>
      </c>
      <c r="C54" s="1">
        <v>2.2297221306360901</v>
      </c>
      <c r="D54" s="1">
        <v>3.2321612277765399</v>
      </c>
      <c r="E54" s="1">
        <v>720.78369889999999</v>
      </c>
      <c r="F54" s="1">
        <v>176.79585130000001</v>
      </c>
      <c r="G54" s="1">
        <v>153.4430122</v>
      </c>
      <c r="H54" s="1">
        <v>0.37205157429734098</v>
      </c>
      <c r="J54">
        <f t="shared" si="0"/>
        <v>39.705166717525678</v>
      </c>
      <c r="K54">
        <f t="shared" si="7"/>
        <v>14.772369784993815</v>
      </c>
    </row>
    <row r="55" spans="1:11">
      <c r="A55">
        <v>0.5</v>
      </c>
      <c r="B55" s="1">
        <v>11.0248718532473</v>
      </c>
      <c r="C55" s="1">
        <v>2.2075967112140402</v>
      </c>
      <c r="D55" s="1">
        <v>3.2141237958350701</v>
      </c>
      <c r="E55" s="1">
        <v>884.37680549999993</v>
      </c>
      <c r="F55" s="1">
        <v>218.277807</v>
      </c>
      <c r="G55" s="1">
        <v>186.34704869999999</v>
      </c>
      <c r="H55" s="1">
        <v>0.37085288615441903</v>
      </c>
      <c r="J55">
        <f t="shared" si="0"/>
        <v>54.186356989101043</v>
      </c>
      <c r="K55">
        <f t="shared" si="7"/>
        <v>20.095166879601798</v>
      </c>
    </row>
    <row r="56" spans="1:11">
      <c r="A56">
        <v>0.7</v>
      </c>
      <c r="B56" s="1">
        <v>10.9832926239568</v>
      </c>
      <c r="C56" s="1">
        <v>2.1970677410328499</v>
      </c>
      <c r="D56" s="1">
        <v>3.20567312090636</v>
      </c>
      <c r="E56" s="1">
        <v>991.98323300000004</v>
      </c>
      <c r="F56" s="1">
        <v>245.576356</v>
      </c>
      <c r="G56" s="1">
        <v>207.72059110000001</v>
      </c>
      <c r="H56" s="1">
        <v>0.37026916984214803</v>
      </c>
      <c r="J56">
        <f t="shared" si="0"/>
        <v>67.87621151261763</v>
      </c>
      <c r="K56">
        <f t="shared" si="7"/>
        <v>25.132468488806982</v>
      </c>
    </row>
    <row r="57" spans="1:11">
      <c r="A57">
        <v>0.9</v>
      </c>
      <c r="B57" s="1">
        <v>10.959294311618899</v>
      </c>
      <c r="C57" s="1">
        <v>2.1909908870368402</v>
      </c>
      <c r="D57" s="1">
        <v>3.20084219290439</v>
      </c>
      <c r="E57" s="1">
        <v>1068.69209</v>
      </c>
      <c r="F57" s="1">
        <v>265.06834559999999</v>
      </c>
      <c r="G57" s="1">
        <v>222.888747</v>
      </c>
      <c r="H57" s="1">
        <v>0.36992794897470099</v>
      </c>
      <c r="J57">
        <f t="shared" si="0"/>
        <v>81.207940808925699</v>
      </c>
      <c r="K57">
        <f t="shared" si="7"/>
        <v>30.041086983904805</v>
      </c>
    </row>
    <row r="58" spans="1:11">
      <c r="A58">
        <v>1.1000000000000001</v>
      </c>
      <c r="B58" s="1">
        <v>10.943895512233199</v>
      </c>
      <c r="C58" s="1">
        <v>2.1870904788109402</v>
      </c>
      <c r="D58" s="1">
        <v>3.19776078709803</v>
      </c>
      <c r="E58" s="1">
        <v>1126.2580909999999</v>
      </c>
      <c r="F58" s="1">
        <v>279.73603100000003</v>
      </c>
      <c r="G58" s="1">
        <v>234.273338</v>
      </c>
      <c r="H58" s="1">
        <v>0.36970710311076299</v>
      </c>
      <c r="J58">
        <f t="shared" si="0"/>
        <v>94.33995409544346</v>
      </c>
      <c r="K58">
        <f t="shared" si="7"/>
        <v>34.878151136228766</v>
      </c>
    </row>
    <row r="59" spans="1:11">
      <c r="A59">
        <v>1.3</v>
      </c>
      <c r="B59" s="1">
        <v>10.933309839906901</v>
      </c>
      <c r="C59" s="1">
        <v>2.18440735642801</v>
      </c>
      <c r="D59" s="1">
        <v>3.1956499679205299</v>
      </c>
      <c r="E59" s="1">
        <v>1171.0679879999998</v>
      </c>
      <c r="F59" s="1">
        <v>291.19382130000002</v>
      </c>
      <c r="G59" s="1">
        <v>243.1634914</v>
      </c>
      <c r="H59" s="1">
        <v>0.36955424977468698</v>
      </c>
      <c r="J59">
        <f t="shared" si="0"/>
        <v>107.3455519685195</v>
      </c>
      <c r="K59">
        <f t="shared" si="7"/>
        <v>39.670004924375895</v>
      </c>
    </row>
    <row r="60" spans="1:11">
      <c r="A60">
        <v>1.5</v>
      </c>
      <c r="B60" s="1">
        <v>10.925666843725599</v>
      </c>
      <c r="C60" s="1">
        <v>2.1824681039408498</v>
      </c>
      <c r="D60" s="1">
        <v>3.1941286532576099</v>
      </c>
      <c r="E60" s="1">
        <v>1206.9264600000001</v>
      </c>
      <c r="F60" s="1">
        <v>300.39987120000001</v>
      </c>
      <c r="G60" s="1">
        <v>250.3152561</v>
      </c>
      <c r="H60" s="1">
        <v>0.369443241662953</v>
      </c>
      <c r="J60">
        <f t="shared" si="0"/>
        <v>120.264157303532</v>
      </c>
      <c r="K60">
        <f t="shared" si="7"/>
        <v>44.430780130080166</v>
      </c>
    </row>
    <row r="62" spans="1:11">
      <c r="F62" s="1"/>
    </row>
    <row r="63" spans="1:11">
      <c r="F63" s="1"/>
    </row>
    <row r="64" spans="1:11">
      <c r="F64" s="1"/>
    </row>
    <row r="65" spans="6:6">
      <c r="F65" s="1"/>
    </row>
    <row r="66" spans="6:6">
      <c r="F66" s="1"/>
    </row>
    <row r="67" spans="6:6">
      <c r="F67" s="1"/>
    </row>
    <row r="68" spans="6:6">
      <c r="F68" s="1"/>
    </row>
    <row r="69" spans="6:6">
      <c r="F69" s="1"/>
    </row>
    <row r="70" spans="6:6">
      <c r="F70" s="1"/>
    </row>
  </sheetData>
  <mergeCells count="2">
    <mergeCell ref="P2:T2"/>
    <mergeCell ref="W2:X2"/>
  </mergeCells>
  <phoneticPr fontId="20" type="noConversion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fa545e-6ab3-4693-ba7e-0093980d26aa">
      <Terms xmlns="http://schemas.microsoft.com/office/infopath/2007/PartnerControls"/>
    </lcf76f155ced4ddcb4097134ff3c332f>
    <TaxCatchAll xmlns="e0b53bdb-ad15-4542-b509-5814b2c15ec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FA6AAFA421B9418F78D257C3A7E55F" ma:contentTypeVersion="13" ma:contentTypeDescription="Create a new document." ma:contentTypeScope="" ma:versionID="30b4422dbb140da9a0e48d7138c42df5">
  <xsd:schema xmlns:xsd="http://www.w3.org/2001/XMLSchema" xmlns:xs="http://www.w3.org/2001/XMLSchema" xmlns:p="http://schemas.microsoft.com/office/2006/metadata/properties" xmlns:ns2="f7fa545e-6ab3-4693-ba7e-0093980d26aa" xmlns:ns3="e0b53bdb-ad15-4542-b509-5814b2c15ecb" targetNamespace="http://schemas.microsoft.com/office/2006/metadata/properties" ma:root="true" ma:fieldsID="6845d2288d5cc41e409429ecfe7a8840" ns2:_="" ns3:_="">
    <xsd:import namespace="f7fa545e-6ab3-4693-ba7e-0093980d26aa"/>
    <xsd:import namespace="e0b53bdb-ad15-4542-b509-5814b2c15e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fa545e-6ab3-4693-ba7e-0093980d26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651d785-cc9b-461e-a4c9-c589c330ff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b53bdb-ad15-4542-b509-5814b2c15ec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21481f0-cbe1-4fe5-852c-01962b083b4e}" ma:internalName="TaxCatchAll" ma:showField="CatchAllData" ma:web="e0b53bdb-ad15-4542-b509-5814b2c15e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6F33FC-2316-46CE-9A98-7BC7F6B36670}"/>
</file>

<file path=customXml/itemProps2.xml><?xml version="1.0" encoding="utf-8"?>
<ds:datastoreItem xmlns:ds="http://schemas.openxmlformats.org/officeDocument/2006/customXml" ds:itemID="{D95544FF-0C5C-4974-B915-C3AEB30ED7F3}"/>
</file>

<file path=customXml/itemProps3.xml><?xml version="1.0" encoding="utf-8"?>
<ds:datastoreItem xmlns:ds="http://schemas.openxmlformats.org/officeDocument/2006/customXml" ds:itemID="{82864973-3F1C-433E-AC31-B248A64408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LIM, ZHENG H. (Student)</dc:creator>
  <cp:keywords/>
  <dc:description/>
  <cp:lastModifiedBy>LAVIROTTE, RENAN S.M. (Student)</cp:lastModifiedBy>
  <cp:revision/>
  <dcterms:created xsi:type="dcterms:W3CDTF">2025-04-01T11:10:10Z</dcterms:created>
  <dcterms:modified xsi:type="dcterms:W3CDTF">2025-11-18T01:54:48Z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0x010100C3FA6AAFA421B9418F78D257C3A7E55F</vt:lpwstr>
  </property>
  <property fmtid="{D5CDD505-2E9C-101B-9397-08002B2CF9AE}" pid="3" name="MediaServiceImageTags">
    <vt:lpwstr/>
  </property>
</Properties>
</file>