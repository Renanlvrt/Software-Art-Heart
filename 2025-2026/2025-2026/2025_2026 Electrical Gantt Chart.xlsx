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mc:AlternateContent xmlns:mc="http://schemas.openxmlformats.org/markup-compatibility/2006">
    <mc:Choice Requires="x15">
      <x15ac:absPath xmlns:x15ac="http://schemas.microsoft.com/office/spreadsheetml/2010/11/ac" url="https://durhamuniversity.sharepoint.com/teams/DUHeartMech/Shared Documents/Electrical/2025-2026/"/>
    </mc:Choice>
  </mc:AlternateContent>
  <xr:revisionPtr revIDLastSave="259" documentId="8_{40209640-7F34-6C4A-ADD8-B0864E4D6B72}" xr6:coauthVersionLast="47" xr6:coauthVersionMax="47" xr10:uidLastSave="{4558BE0F-0001-44A3-9DBE-794A66975C30}"/>
  <bookViews>
    <workbookView xWindow="-120" yWindow="-120" windowWidth="29040" windowHeight="15720" xr2:uid="{00000000-000D-0000-FFFF-FFFF00000000}"/>
  </bookViews>
  <sheets>
    <sheet name="ProjectSchedule" sheetId="11" r:id="rId1"/>
    <sheet name="About" sheetId="12" r:id="rId2"/>
  </sheets>
  <definedNames>
    <definedName name="_xlnm.Print_Area" localSheetId="0">ProjectSchedule!$1:$52</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11" l="1"/>
  <c r="E8" i="11"/>
  <c r="E3" i="11"/>
  <c r="B13" i="12"/>
  <c r="H52" i="11" l="1"/>
  <c r="H51" i="11"/>
  <c r="H50" i="11"/>
  <c r="H49" i="11"/>
  <c r="H48" i="11"/>
  <c r="H47" i="11"/>
  <c r="H46" i="11"/>
  <c r="H45" i="11"/>
  <c r="H44" i="11"/>
  <c r="H43" i="11"/>
  <c r="H42" i="11"/>
  <c r="H41" i="11"/>
  <c r="H40" i="11"/>
  <c r="H39" i="11"/>
  <c r="H38" i="11"/>
  <c r="H37" i="11"/>
  <c r="H36" i="11"/>
  <c r="H35" i="11"/>
  <c r="H34" i="11"/>
  <c r="H33" i="11"/>
  <c r="H32" i="11"/>
  <c r="H31" i="11"/>
  <c r="H23" i="11"/>
  <c r="H25" i="11"/>
  <c r="H24" i="11"/>
  <c r="H21" i="11"/>
  <c r="H20" i="11"/>
  <c r="H15" i="11"/>
  <c r="H14" i="11"/>
  <c r="H13" i="11"/>
  <c r="H8" i="11"/>
  <c r="H7" i="11"/>
  <c r="I5" i="11" l="1"/>
  <c r="I4" i="11" s="1"/>
  <c r="I6" i="11" l="1"/>
  <c r="J5" i="11" l="1"/>
  <c r="K5" i="11" s="1"/>
  <c r="L5" i="11" s="1"/>
  <c r="M5" i="11" s="1"/>
  <c r="N5" i="11" s="1"/>
  <c r="O5" i="11" s="1"/>
  <c r="P5" i="11" s="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<sst xmlns="http://schemas.openxmlformats.org/spreadsheetml/2006/main" count="76" uniqueCount="72">
  <si>
    <t>2025/2026 TET Development</t>
  </si>
  <si>
    <t xml:space="preserve">Project: Durham Heart </t>
  </si>
  <si>
    <t>Project Start:</t>
  </si>
  <si>
    <t xml:space="preserve">Led by: Katrina Lai </t>
  </si>
  <si>
    <t>Today:</t>
  </si>
  <si>
    <t>Display Week:</t>
  </si>
  <si>
    <t>TASK</t>
  </si>
  <si>
    <t>ASSIGNED
TO</t>
  </si>
  <si>
    <t>PROGRESS</t>
  </si>
  <si>
    <t>START</t>
  </si>
  <si>
    <t>END</t>
  </si>
  <si>
    <t>DAYS</t>
  </si>
  <si>
    <t xml:space="preserve">Improvement Integration </t>
  </si>
  <si>
    <t>Calculate the power loss of the current ltspice circuit on LTSpice, and implement improvements (eg. Replace componets, redesign)</t>
  </si>
  <si>
    <t>Joe Gater, Samuel Finney</t>
  </si>
  <si>
    <t xml:space="preserve">Develop and simulate gate-drive PWM control for the inverter using the ESP32 module in Wokwi (see connection on KiCAD Schematics) </t>
  </si>
  <si>
    <t>Lavirotte Renan, Alex Johnson</t>
  </si>
  <si>
    <t xml:space="preserve">KiCAD PCB routing learning </t>
  </si>
  <si>
    <t xml:space="preserve"> Alex Johnson, Femi, Scarlett</t>
  </si>
  <si>
    <t>Construct rectifier and boost converter KiCAD schematics</t>
  </si>
  <si>
    <t>Joe Gater, Samuel Finney, Alex</t>
  </si>
  <si>
    <t>Develop and simulate gate-drive PWM control for the rectifier in Wokwi.</t>
  </si>
  <si>
    <t>Lavirotte Renan, Alex Johson</t>
  </si>
  <si>
    <t xml:space="preserve">Frequency Tuning mechanism elucidation, method determination, and system development using LTSpice </t>
  </si>
  <si>
    <t xml:space="preserve">Joe Gater, Samuel Finney, Ahaan </t>
  </si>
  <si>
    <t xml:space="preserve">Simulate vertical, lateral, and radial coil misalignment effect on coupling, field, and losses using COMSOL, and determine the alignment tolerance  </t>
  </si>
  <si>
    <t xml:space="preserve"> Aoife McGuire, Anas</t>
  </si>
  <si>
    <t>Coil testing design and conduction (max temperature to be measured); root cause analysis, and solution development; chracteristics extraction</t>
  </si>
  <si>
    <t xml:space="preserve"> Lim Zheng, Katrina Lai </t>
  </si>
  <si>
    <t xml:space="preserve">Motor control invetigation, component selection and circuit construction for motor control in KiCAD Schematics </t>
  </si>
  <si>
    <t>Meg Croft, Kian Nooralahiyan, Alex</t>
  </si>
  <si>
    <t>Research into the importance, and integration of sesnors into the current block diagram: pressure senor, flow sensor, motor sensor, ECG sensor, etc</t>
  </si>
  <si>
    <t>Sam Scandler, Clara Jang, Edmond</t>
  </si>
  <si>
    <t xml:space="preserve">Motor geometry optimisation using ANSYS </t>
  </si>
  <si>
    <t xml:space="preserve">Scarlett, Roufus, Cody </t>
  </si>
  <si>
    <t xml:space="preserve">External and internal battery hunting, and charge control component selection, and circuit design in KiCAD Schematics; calculate required external battery volatge through reverse engineering </t>
  </si>
  <si>
    <t>Ahaan , Habib Mosa, Femi</t>
  </si>
  <si>
    <t xml:space="preserve">Phase 2 Design Assembly </t>
  </si>
  <si>
    <t xml:space="preserve">Assemble all internal KiCAD schematics </t>
  </si>
  <si>
    <t>Joe Gater, Kian Nooralahiyan</t>
  </si>
  <si>
    <t>Internal PCB construction</t>
  </si>
  <si>
    <t xml:space="preserve"> Joe Gater, Lavirotte, Anas, Kian Nooralahiyan </t>
  </si>
  <si>
    <t>Powerpoint Preparation for Conference</t>
  </si>
  <si>
    <t>All</t>
  </si>
  <si>
    <t xml:space="preserve">Build KiCAD schemtics for frequency tuning </t>
  </si>
  <si>
    <t>Samuel Finney, Joe Gater</t>
  </si>
  <si>
    <t>Assemble all external KiCAD schematics</t>
  </si>
  <si>
    <t>External PCB construction</t>
  </si>
  <si>
    <t>Samuel Finney, Alex Johnson, Joe Gater</t>
  </si>
  <si>
    <t xml:space="preserve">Develop code for motor drive PWM control </t>
  </si>
  <si>
    <t>Lavirotte Renan, Kian Nooralahiyan</t>
  </si>
  <si>
    <t>Design wireless communication system across skin for sensor data transmission, and data storage</t>
  </si>
  <si>
    <t xml:space="preserve">Sam Scandler, Clara Jang </t>
  </si>
  <si>
    <t xml:space="preserve">Coil reconstruction/ANSYS simulation close to reality </t>
  </si>
  <si>
    <t xml:space="preserve">Lim Zheng, Anas </t>
  </si>
  <si>
    <t>COMSOL result summarisation and graph generation, simulate circuit behaviour in LTSpice under misalignment</t>
  </si>
  <si>
    <t>Ahaan Jaisinghani, Aoife McGuire</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</si>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</sst>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8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9" borderId="1" xfId="0" applyFont="1" applyFill="1" applyBorder="1" applyAlignment="1">
      <alignment horizontal="left" vertical="center" indent="1"/>
    </xf>
    <xf numFmtId="0" fontId="7" fillId="9" borderId="1" xfId="0" applyFont="1" applyFill="1" applyBorder="1" applyAlignment="1">
      <alignment horizontal="center" vertical="center" wrapText="1"/>
    </xf>
    <xf numFmtId="167" fontId="12" fillId="5" borderId="0" xfId="0" applyNumberFormat="1" applyFont="1" applyFill="1" applyAlignment="1">
      <alignment horizontal="center" vertical="center"/>
    </xf>
    <xf numFmtId="167" fontId="12" fillId="5" borderId="8" xfId="0" applyNumberFormat="1" applyFont="1" applyFill="1" applyBorder="1" applyAlignment="1">
      <alignment horizontal="center" vertical="center"/>
    </xf>
    <xf numFmtId="167" fontId="12" fillId="5" borderId="9" xfId="0" applyNumberFormat="1" applyFont="1" applyFill="1" applyBorder="1" applyAlignment="1">
      <alignment horizontal="center" vertical="center"/>
    </xf>
    <xf numFmtId="0" fontId="15" fillId="8"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0" fontId="0" fillId="3" borderId="2" xfId="0" applyFill="1" applyBorder="1" applyAlignment="1">
      <alignment horizontal="left" vertical="center" wrapText="1" indent="2"/>
    </xf>
    <xf numFmtId="0" fontId="0" fillId="4" borderId="2" xfId="0" applyFill="1" applyBorder="1" applyAlignment="1">
      <alignment horizontal="left" vertical="center" wrapText="1" indent="2"/>
    </xf>
    <xf numFmtId="0" fontId="0" fillId="4" borderId="2" xfId="0" applyFill="1" applyBorder="1" applyAlignment="1">
      <alignment horizontal="center" vertical="center" wrapText="1"/>
    </xf>
    <xf numFmtId="0" fontId="0" fillId="3" borderId="2" xfId="0" applyFill="1" applyBorder="1" applyAlignment="1">
      <alignment horizontal="center" vertical="center" wrapText="1"/>
    </xf>
    <xf numFmtId="0" fontId="29" fillId="0" borderId="0" xfId="1" applyFont="1" applyAlignment="1" applyProtection="1">
      <alignment horizontal="left" vertical="center"/>
    </xf>
    <xf numFmtId="166" fontId="0" fillId="5" borderId="6" xfId="0" applyNumberFormat="1" applyFill="1" applyBorder="1" applyAlignment="1">
      <alignment horizontal="left" vertical="center" wrapText="1" indent="1"/>
    </xf>
    <xf numFmtId="166" fontId="0" fillId="5" borderId="1" xfId="0" applyNumberFormat="1" applyFill="1" applyBorder="1" applyAlignment="1">
      <alignment horizontal="left" vertical="center" wrapText="1" indent="1"/>
    </xf>
    <xf numFmtId="166" fontId="0" fillId="5" borderId="7" xfId="0" applyNumberFormat="1" applyFill="1" applyBorder="1" applyAlignment="1">
      <alignment horizontal="left" vertical="center" wrapText="1"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0" fontId="3" fillId="0" borderId="0" xfId="1" applyAlignment="1" applyProtection="1">
      <alignment horizontal="left" vertical="center"/>
    </xf>
  </cellXfs>
  <cellStyles count="3">
    <cellStyle name="Hyperlink" xfId="1" builtinId="8" customBuiltin="1"/>
    <cellStyle name="Normal" xfId="0" builtinId="0"/>
    <cellStyle name="Per 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6"/>
  <sheetViews>
    <sheetView showGridLines="0" tabSelected="1" showRuler="0" zoomScaleNormal="167" zoomScalePageLayoutView="70" workbookViewId="0">
      <pane ySplit="6" topLeftCell="A17" activePane="bottomLeft" state="frozen"/>
      <selection pane="bottomLeft" activeCell="O3" sqref="O3"/>
    </sheetView>
  </sheetViews>
  <sheetFormatPr defaultColWidth="8.85546875" defaultRowHeight="15"/>
  <cols>
    <col min="1" max="1" width="2.7109375" customWidth="1"/>
    <col min="2" max="2" width="62.7109375" customWidth="1"/>
    <col min="3" max="3" width="30.28515625" customWidth="1"/>
    <col min="4" max="4" width="10.7109375" customWidth="1"/>
    <col min="5" max="5" width="10.42578125" style="5" customWidth="1"/>
    <col min="6" max="6" width="10.42578125" customWidth="1"/>
    <col min="7" max="7" width="2.7109375" customWidth="1"/>
    <col min="8" max="8" width="6.140625" hidden="1" customWidth="1"/>
    <col min="9" max="64" width="2.42578125" customWidth="1"/>
    <col min="69" max="70" width="10.28515625"/>
  </cols>
  <sheetData>
    <row r="1" spans="1:64" ht="28.5">
      <c r="B1" s="16" t="s">
        <v>0</v>
      </c>
      <c r="C1" s="1"/>
      <c r="D1" s="2"/>
      <c r="E1" s="4"/>
      <c r="F1" s="65"/>
      <c r="H1" s="2"/>
      <c r="I1" s="8"/>
      <c r="J1" s="80" t="str">
        <f>HYPERLINK("https://vertex42.link/HowToMakeAGanttChart","► Watch How to Make a Gantt Chart in Excel")</f>
        <v>► Watch How to Make a Gantt Chart in Excel</v>
      </c>
      <c r="K1" s="74"/>
      <c r="L1" s="74"/>
      <c r="M1" s="74"/>
      <c r="N1" s="74"/>
      <c r="O1" s="74"/>
      <c r="P1" s="74"/>
      <c r="Q1" s="74"/>
      <c r="R1" s="74"/>
      <c r="S1" s="74"/>
      <c r="T1" s="74"/>
      <c r="U1" s="74"/>
      <c r="V1" s="74"/>
      <c r="W1" s="74"/>
      <c r="X1" s="74"/>
      <c r="Y1" s="74"/>
      <c r="Z1" s="74"/>
      <c r="AA1" s="74"/>
    </row>
    <row r="2" spans="1:64" ht="19.5" customHeight="1">
      <c r="B2" s="9" t="s">
        <v>1</v>
      </c>
      <c r="D2" s="6" t="s">
        <v>2</v>
      </c>
      <c r="E2" s="78">
        <v>45945</v>
      </c>
      <c r="F2" s="79"/>
    </row>
    <row r="3" spans="1:64" ht="19.5" customHeight="1">
      <c r="B3" s="9" t="s">
        <v>3</v>
      </c>
      <c r="D3" s="6" t="s">
        <v>4</v>
      </c>
      <c r="E3" s="78">
        <f ca="1">TODAY()</f>
        <v>46001</v>
      </c>
      <c r="F3" s="79"/>
    </row>
    <row r="4" spans="1:64" ht="19.5" customHeight="1">
      <c r="D4" s="6" t="s">
        <v>5</v>
      </c>
      <c r="E4" s="7">
        <v>1</v>
      </c>
      <c r="I4" s="75">
        <f>I5</f>
        <v>45943</v>
      </c>
      <c r="J4" s="76"/>
      <c r="K4" s="76"/>
      <c r="L4" s="76"/>
      <c r="M4" s="76"/>
      <c r="N4" s="76"/>
      <c r="O4" s="77"/>
      <c r="P4" s="75">
        <f>P5</f>
        <v>45950</v>
      </c>
      <c r="Q4" s="76"/>
      <c r="R4" s="76"/>
      <c r="S4" s="76"/>
      <c r="T4" s="76"/>
      <c r="U4" s="76"/>
      <c r="V4" s="77"/>
      <c r="W4" s="75">
        <f>W5</f>
        <v>45957</v>
      </c>
      <c r="X4" s="76"/>
      <c r="Y4" s="76"/>
      <c r="Z4" s="76"/>
      <c r="AA4" s="76"/>
      <c r="AB4" s="76"/>
      <c r="AC4" s="77"/>
      <c r="AD4" s="75">
        <f>AD5</f>
        <v>45964</v>
      </c>
      <c r="AE4" s="76"/>
      <c r="AF4" s="76"/>
      <c r="AG4" s="76"/>
      <c r="AH4" s="76"/>
      <c r="AI4" s="76"/>
      <c r="AJ4" s="77"/>
      <c r="AK4" s="75">
        <f>AK5</f>
        <v>45971</v>
      </c>
      <c r="AL4" s="76"/>
      <c r="AM4" s="76"/>
      <c r="AN4" s="76"/>
      <c r="AO4" s="76"/>
      <c r="AP4" s="76"/>
      <c r="AQ4" s="77"/>
      <c r="AR4" s="75">
        <f>AR5</f>
        <v>45978</v>
      </c>
      <c r="AS4" s="76"/>
      <c r="AT4" s="76"/>
      <c r="AU4" s="76"/>
      <c r="AV4" s="76"/>
      <c r="AW4" s="76"/>
      <c r="AX4" s="77"/>
      <c r="AY4" s="75">
        <f>AY5</f>
        <v>45985</v>
      </c>
      <c r="AZ4" s="76"/>
      <c r="BA4" s="76"/>
      <c r="BB4" s="76"/>
      <c r="BC4" s="76"/>
      <c r="BD4" s="76"/>
      <c r="BE4" s="77"/>
      <c r="BF4" s="75">
        <f>BF5</f>
        <v>45992</v>
      </c>
      <c r="BG4" s="76"/>
      <c r="BH4" s="76"/>
      <c r="BI4" s="76"/>
      <c r="BJ4" s="76"/>
      <c r="BK4" s="76"/>
      <c r="BL4" s="77"/>
    </row>
    <row r="5" spans="1:64">
      <c r="A5" s="6"/>
      <c r="G5" s="6"/>
      <c r="I5" s="13">
        <f>E2-WEEKDAY(E2,1)+2+7*(E4-1)</f>
        <v>45943</v>
      </c>
      <c r="J5" s="12">
        <f>I5+1</f>
        <v>45944</v>
      </c>
      <c r="K5" s="12">
        <f t="shared" ref="K5:AX5" si="0">J5+1</f>
        <v>45945</v>
      </c>
      <c r="L5" s="12">
        <f t="shared" si="0"/>
        <v>45946</v>
      </c>
      <c r="M5" s="12">
        <f t="shared" si="0"/>
        <v>45947</v>
      </c>
      <c r="N5" s="12">
        <f t="shared" si="0"/>
        <v>45948</v>
      </c>
      <c r="O5" s="14">
        <f t="shared" si="0"/>
        <v>45949</v>
      </c>
      <c r="P5" s="13">
        <f>O5+1</f>
        <v>45950</v>
      </c>
      <c r="Q5" s="12">
        <f>P5+1</f>
        <v>45951</v>
      </c>
      <c r="R5" s="12">
        <f t="shared" si="0"/>
        <v>45952</v>
      </c>
      <c r="S5" s="12">
        <f t="shared" si="0"/>
        <v>45953</v>
      </c>
      <c r="T5" s="12">
        <f t="shared" si="0"/>
        <v>45954</v>
      </c>
      <c r="U5" s="12">
        <f t="shared" si="0"/>
        <v>45955</v>
      </c>
      <c r="V5" s="14">
        <f t="shared" si="0"/>
        <v>45956</v>
      </c>
      <c r="W5" s="13">
        <f>V5+1</f>
        <v>45957</v>
      </c>
      <c r="X5" s="12">
        <f>W5+1</f>
        <v>45958</v>
      </c>
      <c r="Y5" s="12">
        <f t="shared" si="0"/>
        <v>45959</v>
      </c>
      <c r="Z5" s="12">
        <f t="shared" si="0"/>
        <v>45960</v>
      </c>
      <c r="AA5" s="12">
        <f t="shared" si="0"/>
        <v>45961</v>
      </c>
      <c r="AB5" s="12">
        <f t="shared" si="0"/>
        <v>45962</v>
      </c>
      <c r="AC5" s="14">
        <f t="shared" si="0"/>
        <v>45963</v>
      </c>
      <c r="AD5" s="13">
        <f>AC5+1</f>
        <v>45964</v>
      </c>
      <c r="AE5" s="12">
        <f>AD5+1</f>
        <v>45965</v>
      </c>
      <c r="AF5" s="12">
        <f t="shared" si="0"/>
        <v>45966</v>
      </c>
      <c r="AG5" s="12">
        <f t="shared" si="0"/>
        <v>45967</v>
      </c>
      <c r="AH5" s="12">
        <f t="shared" si="0"/>
        <v>45968</v>
      </c>
      <c r="AI5" s="12">
        <f t="shared" si="0"/>
        <v>45969</v>
      </c>
      <c r="AJ5" s="14">
        <f t="shared" si="0"/>
        <v>45970</v>
      </c>
      <c r="AK5" s="13">
        <f>AJ5+1</f>
        <v>45971</v>
      </c>
      <c r="AL5" s="12">
        <f>AK5+1</f>
        <v>45972</v>
      </c>
      <c r="AM5" s="12">
        <f t="shared" si="0"/>
        <v>45973</v>
      </c>
      <c r="AN5" s="12">
        <f t="shared" si="0"/>
        <v>45974</v>
      </c>
      <c r="AO5" s="12">
        <f t="shared" si="0"/>
        <v>45975</v>
      </c>
      <c r="AP5" s="12">
        <f t="shared" si="0"/>
        <v>45976</v>
      </c>
      <c r="AQ5" s="14">
        <f t="shared" si="0"/>
        <v>45977</v>
      </c>
      <c r="AR5" s="13">
        <f>AQ5+1</f>
        <v>45978</v>
      </c>
      <c r="AS5" s="12">
        <f>AR5+1</f>
        <v>45979</v>
      </c>
      <c r="AT5" s="12">
        <f t="shared" si="0"/>
        <v>45980</v>
      </c>
      <c r="AU5" s="12">
        <f t="shared" si="0"/>
        <v>45981</v>
      </c>
      <c r="AV5" s="12">
        <f t="shared" si="0"/>
        <v>45982</v>
      </c>
      <c r="AW5" s="12">
        <f t="shared" si="0"/>
        <v>45983</v>
      </c>
      <c r="AX5" s="14">
        <f t="shared" si="0"/>
        <v>45984</v>
      </c>
      <c r="AY5" s="13">
        <f>AX5+1</f>
        <v>45985</v>
      </c>
      <c r="AZ5" s="12">
        <f>AY5+1</f>
        <v>45986</v>
      </c>
      <c r="BA5" s="12">
        <f t="shared" ref="BA5:BE5" si="1">AZ5+1</f>
        <v>45987</v>
      </c>
      <c r="BB5" s="12">
        <f t="shared" si="1"/>
        <v>45988</v>
      </c>
      <c r="BC5" s="12">
        <f t="shared" si="1"/>
        <v>45989</v>
      </c>
      <c r="BD5" s="12">
        <f t="shared" si="1"/>
        <v>45990</v>
      </c>
      <c r="BE5" s="14">
        <f t="shared" si="1"/>
        <v>45991</v>
      </c>
      <c r="BF5" s="13">
        <f>BE5+1</f>
        <v>45992</v>
      </c>
      <c r="BG5" s="12">
        <f>BF5+1</f>
        <v>45993</v>
      </c>
      <c r="BH5" s="12">
        <f t="shared" ref="BH5:BL5" si="2">BG5+1</f>
        <v>45994</v>
      </c>
      <c r="BI5" s="12">
        <f t="shared" si="2"/>
        <v>45995</v>
      </c>
      <c r="BJ5" s="12">
        <f t="shared" si="2"/>
        <v>45996</v>
      </c>
      <c r="BK5" s="12">
        <f t="shared" si="2"/>
        <v>45997</v>
      </c>
      <c r="BL5" s="14">
        <f t="shared" si="2"/>
        <v>45998</v>
      </c>
    </row>
    <row r="6" spans="1:64" ht="29.25" customHeight="1" thickBot="1">
      <c r="A6" s="19"/>
      <c r="B6" s="10" t="s">
        <v>6</v>
      </c>
      <c r="C6" s="11" t="s">
        <v>7</v>
      </c>
      <c r="D6" s="11" t="s">
        <v>8</v>
      </c>
      <c r="E6" s="11" t="s">
        <v>9</v>
      </c>
      <c r="F6" s="11" t="s">
        <v>10</v>
      </c>
      <c r="G6" s="11"/>
      <c r="H6" s="11" t="s">
        <v>11</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75" thickBot="1">
      <c r="A7" s="19"/>
      <c r="B7" s="26" t="s">
        <v>12</v>
      </c>
      <c r="C7" s="27"/>
      <c r="D7" s="28"/>
      <c r="E7" s="29"/>
      <c r="F7" s="30"/>
      <c r="G7" s="25"/>
      <c r="H7" s="25" t="str">
        <f t="shared" ref="H7:H52" ca="1" si="6">IF(OR(ISBLANK(task_start),ISBLANK(task_end)),"",task_end-task_start+1)</f>
        <v/>
      </c>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row>
    <row r="8" spans="1:64" s="3" customFormat="1" ht="32.1" customHeight="1" thickBot="1">
      <c r="A8" s="19"/>
      <c r="B8" s="70" t="s">
        <v>13</v>
      </c>
      <c r="C8" s="31" t="s">
        <v>14</v>
      </c>
      <c r="D8" s="32">
        <v>0.8</v>
      </c>
      <c r="E8" s="33">
        <f>E2</f>
        <v>45945</v>
      </c>
      <c r="F8" s="34">
        <v>45959</v>
      </c>
      <c r="G8" s="25"/>
      <c r="H8" s="25">
        <f t="shared" ca="1" si="6"/>
        <v>15</v>
      </c>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row>
    <row r="9" spans="1:64" s="3" customFormat="1" ht="27.95" customHeight="1" thickBot="1">
      <c r="A9" s="19"/>
      <c r="B9" s="70" t="s">
        <v>15</v>
      </c>
      <c r="C9" s="31" t="s">
        <v>16</v>
      </c>
      <c r="D9" s="32">
        <v>1</v>
      </c>
      <c r="E9" s="33">
        <v>45945</v>
      </c>
      <c r="F9" s="34">
        <v>45952</v>
      </c>
      <c r="G9" s="25"/>
      <c r="H9" s="25"/>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3" customFormat="1" ht="27.95" customHeight="1" thickBot="1">
      <c r="A10" s="19"/>
      <c r="B10" s="70" t="s">
        <v>17</v>
      </c>
      <c r="C10" s="73" t="s">
        <v>18</v>
      </c>
      <c r="D10" s="32">
        <v>0.8</v>
      </c>
      <c r="E10" s="33">
        <v>45953</v>
      </c>
      <c r="F10" s="34">
        <v>45959</v>
      </c>
      <c r="G10" s="25"/>
      <c r="H10" s="25"/>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3" customFormat="1" ht="15.95" customHeight="1" thickBot="1">
      <c r="A11" s="19"/>
      <c r="B11" s="70" t="s">
        <v>19</v>
      </c>
      <c r="C11" s="31" t="s">
        <v>20</v>
      </c>
      <c r="D11" s="32">
        <v>0</v>
      </c>
      <c r="E11" s="33">
        <v>45960</v>
      </c>
      <c r="F11" s="34">
        <v>45966</v>
      </c>
      <c r="G11" s="25"/>
      <c r="H11" s="25"/>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3" customFormat="1" ht="27" customHeight="1" thickBot="1">
      <c r="A12" s="19"/>
      <c r="B12" s="70" t="s">
        <v>21</v>
      </c>
      <c r="C12" s="31" t="s">
        <v>22</v>
      </c>
      <c r="D12" s="32">
        <v>0.9</v>
      </c>
      <c r="E12" s="33">
        <v>45960</v>
      </c>
      <c r="F12" s="34">
        <v>45966</v>
      </c>
      <c r="G12" s="25"/>
      <c r="H12" s="25"/>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3" customFormat="1" ht="35.1" customHeight="1" thickBot="1">
      <c r="A13" s="19"/>
      <c r="B13" s="70" t="s">
        <v>23</v>
      </c>
      <c r="C13" s="31" t="s">
        <v>24</v>
      </c>
      <c r="D13" s="32">
        <v>0.4</v>
      </c>
      <c r="E13" s="33">
        <v>45945</v>
      </c>
      <c r="F13" s="34">
        <v>45966</v>
      </c>
      <c r="G13" s="25"/>
      <c r="H13" s="25">
        <f t="shared" ca="1" si="6"/>
        <v>22</v>
      </c>
      <c r="I13" s="51"/>
      <c r="J13" s="51"/>
      <c r="K13" s="51"/>
      <c r="L13" s="51"/>
      <c r="M13" s="51"/>
      <c r="N13" s="51"/>
      <c r="O13" s="51"/>
      <c r="P13" s="51"/>
      <c r="Q13" s="51"/>
      <c r="R13" s="51"/>
      <c r="S13" s="51"/>
      <c r="T13" s="51"/>
      <c r="U13" s="52"/>
      <c r="V13" s="52"/>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3" customFormat="1" ht="38.1" customHeight="1" thickBot="1">
      <c r="A14" s="19"/>
      <c r="B14" s="70" t="s">
        <v>25</v>
      </c>
      <c r="C14" s="31" t="s">
        <v>26</v>
      </c>
      <c r="D14" s="32">
        <v>0.1</v>
      </c>
      <c r="E14" s="33">
        <v>45945</v>
      </c>
      <c r="F14" s="34">
        <v>45966</v>
      </c>
      <c r="G14" s="25"/>
      <c r="H14" s="25">
        <f t="shared" ca="1" si="6"/>
        <v>22</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3" customFormat="1" ht="45" customHeight="1" thickBot="1">
      <c r="A15" s="19"/>
      <c r="B15" s="70" t="s">
        <v>27</v>
      </c>
      <c r="C15" s="31" t="s">
        <v>28</v>
      </c>
      <c r="D15" s="32">
        <v>0</v>
      </c>
      <c r="E15" s="33">
        <v>45945</v>
      </c>
      <c r="F15" s="34">
        <v>45966</v>
      </c>
      <c r="G15" s="25"/>
      <c r="H15" s="25">
        <f t="shared" ca="1" si="6"/>
        <v>22</v>
      </c>
      <c r="I15" s="51"/>
      <c r="J15" s="51"/>
      <c r="K15" s="51"/>
      <c r="L15" s="51"/>
      <c r="M15" s="51"/>
      <c r="N15" s="51"/>
      <c r="O15" s="51"/>
      <c r="P15" s="51"/>
      <c r="Q15" s="51"/>
      <c r="R15" s="51"/>
      <c r="S15" s="51"/>
      <c r="T15" s="51"/>
      <c r="U15" s="51"/>
      <c r="V15" s="51"/>
      <c r="W15" s="51"/>
      <c r="X15" s="51"/>
      <c r="Y15" s="52"/>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3" customFormat="1" ht="33.950000000000003" customHeight="1" thickBot="1">
      <c r="A16" s="19"/>
      <c r="B16" s="70" t="s">
        <v>29</v>
      </c>
      <c r="C16" s="31" t="s">
        <v>30</v>
      </c>
      <c r="D16" s="32">
        <v>0.35</v>
      </c>
      <c r="E16" s="33">
        <v>45945</v>
      </c>
      <c r="F16" s="34">
        <v>45966</v>
      </c>
      <c r="G16" s="25"/>
      <c r="H16" s="25"/>
      <c r="I16" s="51"/>
      <c r="J16" s="51"/>
      <c r="K16" s="51"/>
      <c r="L16" s="51"/>
      <c r="M16" s="51"/>
      <c r="N16" s="51"/>
      <c r="O16" s="51"/>
      <c r="P16" s="51"/>
      <c r="Q16" s="51"/>
      <c r="R16" s="51"/>
      <c r="S16" s="51"/>
      <c r="T16" s="51"/>
      <c r="U16" s="51"/>
      <c r="V16" s="51"/>
      <c r="W16" s="51"/>
      <c r="X16" s="51"/>
      <c r="Y16" s="52"/>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3" customFormat="1" ht="39" customHeight="1" thickBot="1">
      <c r="A17" s="19"/>
      <c r="B17" s="70" t="s">
        <v>31</v>
      </c>
      <c r="C17" s="31" t="s">
        <v>32</v>
      </c>
      <c r="D17" s="32">
        <v>0</v>
      </c>
      <c r="E17" s="33">
        <v>45945</v>
      </c>
      <c r="F17" s="34">
        <v>45966</v>
      </c>
      <c r="G17" s="25"/>
      <c r="H17" s="25"/>
      <c r="I17" s="51"/>
      <c r="J17" s="51"/>
      <c r="K17" s="51"/>
      <c r="L17" s="51"/>
      <c r="M17" s="51"/>
      <c r="N17" s="51"/>
      <c r="O17" s="51"/>
      <c r="P17" s="51"/>
      <c r="Q17" s="51"/>
      <c r="R17" s="51"/>
      <c r="S17" s="51"/>
      <c r="T17" s="51"/>
      <c r="U17" s="51"/>
      <c r="V17" s="51"/>
      <c r="W17" s="51"/>
      <c r="X17" s="51"/>
      <c r="Y17" s="52"/>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3" customFormat="1" ht="29.1" customHeight="1" thickBot="1">
      <c r="A18" s="19"/>
      <c r="B18" s="70" t="s">
        <v>33</v>
      </c>
      <c r="C18" s="31" t="s">
        <v>34</v>
      </c>
      <c r="D18" s="32">
        <v>0.7</v>
      </c>
      <c r="E18" s="33">
        <v>45945</v>
      </c>
      <c r="F18" s="34">
        <v>45966</v>
      </c>
      <c r="G18" s="25"/>
      <c r="H18" s="25"/>
      <c r="I18" s="51"/>
      <c r="J18" s="51"/>
      <c r="K18" s="51"/>
      <c r="L18" s="51"/>
      <c r="M18" s="51"/>
      <c r="N18" s="51"/>
      <c r="O18" s="51"/>
      <c r="P18" s="51"/>
      <c r="Q18" s="51"/>
      <c r="R18" s="51"/>
      <c r="S18" s="51"/>
      <c r="T18" s="51"/>
      <c r="U18" s="51"/>
      <c r="V18" s="51"/>
      <c r="W18" s="51"/>
      <c r="X18" s="51"/>
      <c r="Y18" s="52"/>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3" customFormat="1" ht="50.1" customHeight="1" thickBot="1">
      <c r="A19" s="19"/>
      <c r="B19" s="70" t="s">
        <v>35</v>
      </c>
      <c r="C19" s="31" t="s">
        <v>36</v>
      </c>
      <c r="D19" s="32">
        <v>0</v>
      </c>
      <c r="E19" s="33">
        <v>45945</v>
      </c>
      <c r="F19" s="34">
        <v>45966</v>
      </c>
      <c r="G19" s="25"/>
      <c r="H19" s="25"/>
      <c r="I19" s="51"/>
      <c r="J19" s="51"/>
      <c r="K19" s="51"/>
      <c r="L19" s="51"/>
      <c r="M19" s="51"/>
      <c r="N19" s="51"/>
      <c r="O19" s="51"/>
      <c r="P19" s="51"/>
      <c r="Q19" s="51"/>
      <c r="R19" s="51"/>
      <c r="S19" s="51"/>
      <c r="T19" s="51"/>
      <c r="U19" s="51"/>
      <c r="V19" s="51"/>
      <c r="W19" s="51"/>
      <c r="X19" s="51"/>
      <c r="Y19" s="52"/>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3" customFormat="1" ht="21.75" thickBot="1">
      <c r="A20" s="19"/>
      <c r="B20" s="35" t="s">
        <v>37</v>
      </c>
      <c r="C20" s="36"/>
      <c r="D20" s="37"/>
      <c r="E20" s="38"/>
      <c r="F20" s="39"/>
      <c r="G20" s="25"/>
      <c r="H20" s="25" t="str">
        <f t="shared" ca="1" si="6"/>
        <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3" customFormat="1" ht="50.1" customHeight="1" thickBot="1">
      <c r="A21" s="19"/>
      <c r="B21" s="40" t="s">
        <v>38</v>
      </c>
      <c r="C21" s="72" t="s">
        <v>39</v>
      </c>
      <c r="D21" s="42">
        <v>0</v>
      </c>
      <c r="E21" s="43">
        <v>45967</v>
      </c>
      <c r="F21" s="44">
        <v>45973</v>
      </c>
      <c r="G21" s="25"/>
      <c r="H21" s="25">
        <f t="shared" ca="1" si="6"/>
        <v>7</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3" customFormat="1" ht="50.1" customHeight="1">
      <c r="A22" s="19"/>
      <c r="B22" s="40" t="s">
        <v>40</v>
      </c>
      <c r="C22" s="72" t="s">
        <v>41</v>
      </c>
      <c r="D22" s="42">
        <v>0</v>
      </c>
      <c r="E22" s="43">
        <v>45967</v>
      </c>
      <c r="F22" s="44">
        <v>45987</v>
      </c>
      <c r="G22" s="25"/>
      <c r="H22" s="25"/>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3" customFormat="1" ht="50.1" customHeight="1" thickBot="1">
      <c r="A23" s="19"/>
      <c r="B23" s="71" t="s">
        <v>42</v>
      </c>
      <c r="C23" s="41" t="s">
        <v>43</v>
      </c>
      <c r="D23" s="42">
        <v>0</v>
      </c>
      <c r="E23" s="43">
        <v>45966</v>
      </c>
      <c r="F23" s="44">
        <v>45980</v>
      </c>
      <c r="G23" s="25"/>
      <c r="H23" s="25">
        <f t="shared" ca="1" si="6"/>
        <v>15</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3" customFormat="1" ht="50.1" customHeight="1">
      <c r="A24" s="19"/>
      <c r="B24" s="40" t="s">
        <v>44</v>
      </c>
      <c r="C24" s="41" t="s">
        <v>45</v>
      </c>
      <c r="D24" s="42">
        <v>0</v>
      </c>
      <c r="E24" s="43">
        <v>45967</v>
      </c>
      <c r="F24" s="44">
        <v>45973</v>
      </c>
      <c r="G24" s="25"/>
      <c r="H24" s="25">
        <f t="shared" ca="1" si="6"/>
        <v>7</v>
      </c>
      <c r="I24" s="51"/>
      <c r="J24" s="51"/>
      <c r="K24" s="51"/>
      <c r="L24" s="51"/>
      <c r="M24" s="51"/>
      <c r="N24" s="51"/>
      <c r="O24" s="51"/>
      <c r="P24" s="51"/>
      <c r="Q24" s="51"/>
      <c r="R24" s="51"/>
      <c r="S24" s="51"/>
      <c r="T24" s="51"/>
      <c r="U24" s="52"/>
      <c r="V24" s="52"/>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3" customFormat="1" ht="50.1" customHeight="1">
      <c r="A25" s="19"/>
      <c r="B25" s="40" t="s">
        <v>46</v>
      </c>
      <c r="C25" s="41" t="s">
        <v>45</v>
      </c>
      <c r="D25" s="42">
        <v>0</v>
      </c>
      <c r="E25" s="43">
        <v>45974</v>
      </c>
      <c r="F25" s="44">
        <v>45980</v>
      </c>
      <c r="G25" s="25"/>
      <c r="H25" s="25">
        <f t="shared" ca="1" si="6"/>
        <v>7</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3" customFormat="1" ht="50.1" customHeight="1" thickBot="1">
      <c r="A26" s="19"/>
      <c r="B26" s="40" t="s">
        <v>47</v>
      </c>
      <c r="C26" s="72" t="s">
        <v>48</v>
      </c>
      <c r="D26" s="42">
        <v>0</v>
      </c>
      <c r="E26" s="43">
        <v>45974</v>
      </c>
      <c r="F26" s="44">
        <v>45987</v>
      </c>
      <c r="G26" s="25"/>
      <c r="H26" s="25"/>
      <c r="I26" s="51"/>
      <c r="J26" s="51"/>
      <c r="K26" s="51"/>
      <c r="L26" s="51"/>
      <c r="M26" s="51"/>
      <c r="N26" s="51"/>
      <c r="O26" s="51"/>
      <c r="P26" s="51"/>
      <c r="Q26" s="51"/>
      <c r="R26" s="51"/>
      <c r="S26" s="51"/>
      <c r="T26" s="51"/>
      <c r="U26" s="51"/>
      <c r="V26" s="51"/>
      <c r="W26" s="51"/>
      <c r="X26" s="51"/>
      <c r="Y26" s="52"/>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3" customFormat="1" ht="50.1" customHeight="1" thickBot="1">
      <c r="A27" s="19"/>
      <c r="B27" s="40" t="s">
        <v>49</v>
      </c>
      <c r="C27" s="41" t="s">
        <v>50</v>
      </c>
      <c r="D27" s="42">
        <v>0</v>
      </c>
      <c r="E27" s="43">
        <v>45967</v>
      </c>
      <c r="F27" s="44">
        <v>45980</v>
      </c>
      <c r="G27" s="25"/>
      <c r="H27" s="25"/>
      <c r="I27" s="51"/>
      <c r="J27" s="51"/>
      <c r="K27" s="51"/>
      <c r="L27" s="51"/>
      <c r="M27" s="51"/>
      <c r="N27" s="51"/>
      <c r="O27" s="51"/>
      <c r="P27" s="51"/>
      <c r="Q27" s="51"/>
      <c r="R27" s="51"/>
      <c r="S27" s="51"/>
      <c r="T27" s="51"/>
      <c r="U27" s="51"/>
      <c r="V27" s="51"/>
      <c r="W27" s="51"/>
      <c r="X27" s="51"/>
      <c r="Y27" s="52"/>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3" customFormat="1" ht="50.1" customHeight="1" thickBot="1">
      <c r="A28" s="19"/>
      <c r="B28" s="71" t="s">
        <v>51</v>
      </c>
      <c r="C28" s="41" t="s">
        <v>52</v>
      </c>
      <c r="D28" s="42">
        <v>0</v>
      </c>
      <c r="E28" s="43">
        <v>45967</v>
      </c>
      <c r="F28" s="44">
        <v>45980</v>
      </c>
      <c r="G28" s="25"/>
      <c r="H28" s="25"/>
      <c r="I28" s="51"/>
      <c r="J28" s="51"/>
      <c r="K28" s="51"/>
      <c r="L28" s="51"/>
      <c r="M28" s="51"/>
      <c r="N28" s="51"/>
      <c r="O28" s="51"/>
      <c r="P28" s="51"/>
      <c r="Q28" s="51"/>
      <c r="R28" s="51"/>
      <c r="S28" s="51"/>
      <c r="T28" s="51"/>
      <c r="U28" s="51"/>
      <c r="V28" s="51"/>
      <c r="W28" s="51"/>
      <c r="X28" s="51"/>
      <c r="Y28" s="52"/>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3" customFormat="1" ht="50.1" customHeight="1" thickBot="1">
      <c r="A29" s="19"/>
      <c r="B29" s="40" t="s">
        <v>53</v>
      </c>
      <c r="C29" s="41" t="s">
        <v>54</v>
      </c>
      <c r="D29" s="42">
        <v>0</v>
      </c>
      <c r="E29" s="43">
        <v>45967</v>
      </c>
      <c r="F29" s="44">
        <v>45980</v>
      </c>
      <c r="G29" s="25"/>
      <c r="H29" s="25"/>
      <c r="I29" s="51"/>
      <c r="J29" s="51"/>
      <c r="K29" s="51"/>
      <c r="L29" s="51"/>
      <c r="M29" s="51"/>
      <c r="N29" s="51"/>
      <c r="O29" s="51"/>
      <c r="P29" s="51"/>
      <c r="Q29" s="51"/>
      <c r="R29" s="51"/>
      <c r="S29" s="51"/>
      <c r="T29" s="51"/>
      <c r="U29" s="51"/>
      <c r="V29" s="51"/>
      <c r="W29" s="51"/>
      <c r="X29" s="51"/>
      <c r="Y29" s="52"/>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3" customFormat="1" ht="50.1" customHeight="1">
      <c r="A30" s="19"/>
      <c r="B30" s="71" t="s">
        <v>55</v>
      </c>
      <c r="C30" s="41" t="s">
        <v>56</v>
      </c>
      <c r="D30" s="42">
        <v>0</v>
      </c>
      <c r="E30" s="43">
        <v>45967</v>
      </c>
      <c r="F30" s="44">
        <v>45987</v>
      </c>
      <c r="G30" s="25"/>
      <c r="H30" s="25"/>
      <c r="I30" s="51"/>
      <c r="J30" s="51"/>
      <c r="K30" s="51"/>
      <c r="L30" s="51"/>
      <c r="M30" s="51"/>
      <c r="N30" s="51"/>
      <c r="O30" s="51"/>
      <c r="P30" s="51"/>
      <c r="Q30" s="51"/>
      <c r="R30" s="51"/>
      <c r="S30" s="51"/>
      <c r="T30" s="51"/>
      <c r="U30" s="51"/>
      <c r="V30" s="51"/>
      <c r="W30" s="51"/>
      <c r="X30" s="51"/>
      <c r="Y30" s="52"/>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3" customFormat="1" ht="21">
      <c r="A31" s="19"/>
      <c r="B31"/>
      <c r="C31"/>
      <c r="D31"/>
      <c r="E31"/>
      <c r="F31"/>
      <c r="G31"/>
      <c r="H31" s="25" t="str">
        <f t="shared" ca="1" si="6"/>
        <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3" customFormat="1" ht="21.75" thickBot="1">
      <c r="A32" s="19"/>
      <c r="B32"/>
      <c r="C32"/>
      <c r="D32"/>
      <c r="E32"/>
      <c r="F32"/>
      <c r="G32"/>
      <c r="H32" s="25" t="str">
        <f t="shared" ca="1" si="6"/>
        <v/>
      </c>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row>
    <row r="33" spans="1:64" s="3" customFormat="1" ht="21.75" thickBot="1">
      <c r="A33" s="19"/>
      <c r="B33"/>
      <c r="C33"/>
      <c r="D33"/>
      <c r="E33"/>
      <c r="F33"/>
      <c r="G33"/>
      <c r="H33" s="25" t="str">
        <f t="shared" ca="1" si="6"/>
        <v/>
      </c>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row>
    <row r="34" spans="1:64" s="3" customFormat="1" ht="21.75" thickBot="1">
      <c r="A34" s="19"/>
      <c r="B34"/>
      <c r="C34"/>
      <c r="D34"/>
      <c r="E34"/>
      <c r="F34"/>
      <c r="G34"/>
      <c r="H34" s="25" t="str">
        <f t="shared" ca="1" si="6"/>
        <v/>
      </c>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row>
    <row r="35" spans="1:64" s="3" customFormat="1" ht="21.75" thickBot="1">
      <c r="A35" s="19"/>
      <c r="B35"/>
      <c r="C35"/>
      <c r="D35"/>
      <c r="E35"/>
      <c r="F35"/>
      <c r="G35"/>
      <c r="H35" s="25" t="str">
        <f t="shared" ca="1" si="6"/>
        <v/>
      </c>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row>
    <row r="36" spans="1:64" s="3" customFormat="1" ht="21.75" thickBot="1">
      <c r="A36" s="19"/>
      <c r="B36"/>
      <c r="C36"/>
      <c r="D36"/>
      <c r="E36"/>
      <c r="F36"/>
      <c r="G36"/>
      <c r="H36" s="25" t="str">
        <f t="shared" ca="1" si="6"/>
        <v/>
      </c>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row>
    <row r="37" spans="1:64" s="3" customFormat="1" ht="21.75" thickBot="1">
      <c r="A37" s="19"/>
      <c r="B37"/>
      <c r="C37"/>
      <c r="D37"/>
      <c r="E37"/>
      <c r="F37"/>
      <c r="G37"/>
      <c r="H37" s="25" t="str">
        <f t="shared" ca="1" si="6"/>
        <v/>
      </c>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row>
    <row r="38" spans="1:64" s="3" customFormat="1" ht="21.75" thickBot="1">
      <c r="A38" s="19"/>
      <c r="B38"/>
      <c r="C38"/>
      <c r="D38"/>
      <c r="E38"/>
      <c r="F38"/>
      <c r="G38"/>
      <c r="H38" s="25" t="str">
        <f t="shared" ca="1" si="6"/>
        <v/>
      </c>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row>
    <row r="39" spans="1:64" s="3" customFormat="1" ht="21.75" thickBot="1">
      <c r="A39" s="19"/>
      <c r="B39"/>
      <c r="C39"/>
      <c r="D39"/>
      <c r="E39"/>
      <c r="F39"/>
      <c r="G39"/>
      <c r="H39" s="25" t="str">
        <f t="shared" ca="1" si="6"/>
        <v/>
      </c>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row>
    <row r="40" spans="1:64" s="3" customFormat="1" ht="21.75" thickBot="1">
      <c r="A40" s="19"/>
      <c r="B40"/>
      <c r="C40"/>
      <c r="D40"/>
      <c r="E40"/>
      <c r="F40"/>
      <c r="G40"/>
      <c r="H40" s="25" t="str">
        <f t="shared" ca="1" si="6"/>
        <v/>
      </c>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row>
    <row r="41" spans="1:64" s="3" customFormat="1" ht="21.75" thickBot="1">
      <c r="A41" s="19"/>
      <c r="B41"/>
      <c r="C41"/>
      <c r="D41"/>
      <c r="E41"/>
      <c r="F41"/>
      <c r="G41"/>
      <c r="H41" s="25" t="str">
        <f t="shared" ca="1" si="6"/>
        <v/>
      </c>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row>
    <row r="42" spans="1:64" s="3" customFormat="1" ht="21.75" thickBot="1">
      <c r="A42" s="19"/>
      <c r="B42"/>
      <c r="C42"/>
      <c r="D42"/>
      <c r="E42"/>
      <c r="F42"/>
      <c r="G42"/>
      <c r="H42" s="25" t="str">
        <f t="shared" ca="1" si="6"/>
        <v/>
      </c>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row>
    <row r="43" spans="1:64" s="3" customFormat="1" ht="21.75" thickBot="1">
      <c r="A43" s="19"/>
      <c r="B43"/>
      <c r="C43"/>
      <c r="D43"/>
      <c r="E43"/>
      <c r="F43"/>
      <c r="G43"/>
      <c r="H43" s="25" t="str">
        <f t="shared" ca="1" si="6"/>
        <v/>
      </c>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row>
    <row r="44" spans="1:64" s="3" customFormat="1" ht="21.75" thickBot="1">
      <c r="A44" s="19"/>
      <c r="B44"/>
      <c r="C44"/>
      <c r="D44"/>
      <c r="E44"/>
      <c r="F44"/>
      <c r="G44"/>
      <c r="H44" s="25" t="str">
        <f t="shared" ca="1" si="6"/>
        <v/>
      </c>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row>
    <row r="45" spans="1:64" s="3" customFormat="1" ht="21.75" thickBot="1">
      <c r="A45" s="19"/>
      <c r="B45"/>
      <c r="C45"/>
      <c r="D45"/>
      <c r="E45"/>
      <c r="F45"/>
      <c r="G45"/>
      <c r="H45" s="25" t="str">
        <f t="shared" ca="1" si="6"/>
        <v/>
      </c>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row>
    <row r="46" spans="1:64" s="3" customFormat="1" ht="21.75" thickBot="1">
      <c r="A46" s="19"/>
      <c r="B46"/>
      <c r="C46"/>
      <c r="D46"/>
      <c r="E46"/>
      <c r="F46"/>
      <c r="G46"/>
      <c r="H46" s="25" t="str">
        <f t="shared" ca="1" si="6"/>
        <v/>
      </c>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row>
    <row r="47" spans="1:64" s="3" customFormat="1" ht="21.75" thickBot="1">
      <c r="A47" s="19"/>
      <c r="B47"/>
      <c r="C47"/>
      <c r="D47"/>
      <c r="E47"/>
      <c r="F47"/>
      <c r="G47"/>
      <c r="H47" s="25" t="str">
        <f t="shared" ca="1" si="6"/>
        <v/>
      </c>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row>
    <row r="48" spans="1:64" s="3" customFormat="1" ht="21.75" thickBot="1">
      <c r="A48" s="19"/>
      <c r="B48"/>
      <c r="C48"/>
      <c r="D48"/>
      <c r="E48"/>
      <c r="F48"/>
      <c r="G48"/>
      <c r="H48" s="25" t="str">
        <f t="shared" ca="1" si="6"/>
        <v/>
      </c>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row>
    <row r="49" spans="1:64" s="3" customFormat="1" ht="21.75" thickBot="1">
      <c r="A49" s="19"/>
      <c r="B49" s="20"/>
      <c r="C49" s="21"/>
      <c r="D49" s="22"/>
      <c r="E49" s="23"/>
      <c r="F49" s="24"/>
      <c r="G49" s="25"/>
      <c r="H49" s="25" t="str">
        <f t="shared" ca="1" si="6"/>
        <v/>
      </c>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row>
    <row r="50" spans="1:64" s="3" customFormat="1" ht="21.75" thickBot="1">
      <c r="A50" s="19"/>
      <c r="B50" s="20"/>
      <c r="C50" s="21"/>
      <c r="D50" s="22"/>
      <c r="E50" s="23"/>
      <c r="F50" s="24"/>
      <c r="G50" s="25"/>
      <c r="H50" s="25" t="str">
        <f t="shared" ca="1" si="6"/>
        <v/>
      </c>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row>
    <row r="51" spans="1:64" s="3" customFormat="1" ht="21.75" thickBot="1">
      <c r="A51" s="19"/>
      <c r="B51" s="20"/>
      <c r="C51" s="21"/>
      <c r="D51" s="22"/>
      <c r="E51" s="23"/>
      <c r="F51" s="24"/>
      <c r="G51" s="25"/>
      <c r="H51" s="25" t="str">
        <f t="shared" ca="1" si="6"/>
        <v/>
      </c>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row>
    <row r="52" spans="1:64" s="3" customFormat="1" ht="21.75" thickBot="1">
      <c r="A52" s="19"/>
      <c r="B52" s="45" t="s">
        <v>57</v>
      </c>
      <c r="C52" s="46"/>
      <c r="D52" s="47"/>
      <c r="E52" s="48"/>
      <c r="F52" s="49"/>
      <c r="G52" s="50"/>
      <c r="H52" s="50" t="str">
        <f t="shared" ca="1" si="6"/>
        <v/>
      </c>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row>
    <row r="53" spans="1:64">
      <c r="A53" s="6"/>
      <c r="G53" s="6"/>
    </row>
    <row r="54" spans="1:64">
      <c r="B54" s="17" t="s">
        <v>58</v>
      </c>
      <c r="C54" s="17"/>
      <c r="F54" s="64">
        <v>43113</v>
      </c>
    </row>
    <row r="55" spans="1:64">
      <c r="B55" s="68" t="s">
        <v>59</v>
      </c>
      <c r="C55" s="18"/>
    </row>
    <row r="56" spans="1:64">
      <c r="B56" s="67" t="s">
        <v>60</v>
      </c>
    </row>
  </sheetData>
  <mergeCells count="11">
    <mergeCell ref="E2:F2"/>
    <mergeCell ref="I4:O4"/>
    <mergeCell ref="P4:V4"/>
    <mergeCell ref="W4:AC4"/>
    <mergeCell ref="AD4:AJ4"/>
    <mergeCell ref="E3:F3"/>
    <mergeCell ref="J1:AA1"/>
    <mergeCell ref="AK4:AQ4"/>
    <mergeCell ref="AR4:AX4"/>
    <mergeCell ref="AY4:BE4"/>
    <mergeCell ref="BF4:BL4"/>
  </mergeCells>
  <conditionalFormatting sqref="D49:D52 D7:D30">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52">
    <cfRule type="expression" dxfId="2" priority="27">
      <formula>AND(today&gt;=I$5,today&lt;I$5+1)</formula>
    </cfRule>
  </conditionalFormatting>
  <conditionalFormatting sqref="I7:BL52">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55" r:id="rId1" xr:uid="{00000000-0004-0000-0000-000000000000}"/>
    <hyperlink ref="B54"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D49:D52 D7:D30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2.75"/>
  <cols>
    <col min="1" max="1" width="2.85546875" style="2" customWidth="1"/>
    <col min="2" max="2" width="87.140625" style="54" customWidth="1"/>
    <col min="3" max="16384" width="9.140625" style="2"/>
  </cols>
  <sheetData>
    <row r="1" spans="2:3" ht="46.5" customHeight="1"/>
    <row r="2" spans="2:3" s="56" customFormat="1" ht="15.75">
      <c r="B2" s="55" t="s">
        <v>58</v>
      </c>
      <c r="C2" s="55"/>
    </row>
    <row r="3" spans="2:3" s="58" customFormat="1" ht="13.5" customHeight="1">
      <c r="B3" s="57" t="s">
        <v>59</v>
      </c>
      <c r="C3" s="57"/>
    </row>
    <row r="4" spans="2:3">
      <c r="B4" s="66" t="s">
        <v>60</v>
      </c>
    </row>
    <row r="6" spans="2:3" s="59" customFormat="1" ht="26.25">
      <c r="B6" s="61" t="s">
        <v>61</v>
      </c>
    </row>
    <row r="7" spans="2:3" ht="60">
      <c r="B7" s="62" t="s">
        <v>62</v>
      </c>
    </row>
    <row r="8" spans="2:3" ht="15">
      <c r="B8" s="60"/>
    </row>
    <row r="9" spans="2:3" s="59" customFormat="1" ht="26.25">
      <c r="B9" s="61" t="s">
        <v>63</v>
      </c>
    </row>
    <row r="10" spans="2:3" ht="60">
      <c r="B10" s="62" t="s">
        <v>64</v>
      </c>
    </row>
    <row r="11" spans="2:3" ht="14.25">
      <c r="B11" s="63" t="s">
        <v>65</v>
      </c>
    </row>
    <row r="12" spans="2:3" ht="15">
      <c r="B12" s="60"/>
    </row>
    <row r="13" spans="2:3" ht="14.25">
      <c r="B13" s="69" t="str">
        <f>HYPERLINK("https://vertex42.link/HowToMakeAGanttChart","► Watch How This Gantt Chart Was Created")</f>
        <v>► Watch How This Gantt Chart Was Created</v>
      </c>
    </row>
    <row r="14" spans="2:3" ht="15">
      <c r="B14" s="60"/>
    </row>
    <row r="15" spans="2:3" s="59" customFormat="1" ht="26.25">
      <c r="B15" s="61" t="s">
        <v>66</v>
      </c>
    </row>
    <row r="16" spans="2:3" ht="30">
      <c r="B16" s="62" t="s">
        <v>67</v>
      </c>
    </row>
    <row r="17" spans="2:2" ht="14.25">
      <c r="B17" s="63" t="s">
        <v>68</v>
      </c>
    </row>
    <row r="18" spans="2:2" ht="15">
      <c r="B18" s="60"/>
    </row>
    <row r="19" spans="2:2" s="59" customFormat="1" ht="26.25">
      <c r="B19" s="61" t="s">
        <v>69</v>
      </c>
    </row>
    <row r="20" spans="2:2" ht="60">
      <c r="B20" s="62" t="s">
        <v>70</v>
      </c>
    </row>
    <row r="21" spans="2:2" ht="15">
      <c r="B21" s="60"/>
    </row>
    <row r="22" spans="2:2" ht="75">
      <c r="B22" s="62" t="s">
        <v>71</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7fa545e-6ab3-4693-ba7e-0093980d26aa">
      <Terms xmlns="http://schemas.microsoft.com/office/infopath/2007/PartnerControls"/>
    </lcf76f155ced4ddcb4097134ff3c332f>
    <TaxCatchAll xmlns="e0b53bdb-ad15-4542-b509-5814b2c15ec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FA6AAFA421B9418F78D257C3A7E55F" ma:contentTypeVersion="14" ma:contentTypeDescription="Create a new document." ma:contentTypeScope="" ma:versionID="51bac6e887cadbaae5afea0730b62786">
  <xsd:schema xmlns:xsd="http://www.w3.org/2001/XMLSchema" xmlns:xs="http://www.w3.org/2001/XMLSchema" xmlns:p="http://schemas.microsoft.com/office/2006/metadata/properties" xmlns:ns2="f7fa545e-6ab3-4693-ba7e-0093980d26aa" xmlns:ns3="e0b53bdb-ad15-4542-b509-5814b2c15ecb" targetNamespace="http://schemas.microsoft.com/office/2006/metadata/properties" ma:root="true" ma:fieldsID="9645e8e20a59e3c2fc5daa0324a59f11" ns2:_="" ns3:_="">
    <xsd:import namespace="f7fa545e-6ab3-4693-ba7e-0093980d26aa"/>
    <xsd:import namespace="e0b53bdb-ad15-4542-b509-5814b2c15e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fa545e-6ab3-4693-ba7e-0093980d26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651d785-cc9b-461e-a4c9-c589c330ffe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b53bdb-ad15-4542-b509-5814b2c15e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1481f0-cbe1-4fe5-852c-01962b083b4e}" ma:internalName="TaxCatchAll" ma:showField="CatchAllData" ma:web="e0b53bdb-ad15-4542-b509-5814b2c15e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86475-1191-4E22-B053-1F6608D752A4}"/>
</file>

<file path=customXml/itemProps2.xml><?xml version="1.0" encoding="utf-8"?>
<ds:datastoreItem xmlns:ds="http://schemas.openxmlformats.org/officeDocument/2006/customXml" ds:itemID="{B5F052A1-3055-4898-937E-31C346321A1C}"/>
</file>

<file path=customXml/itemProps3.xml><?xml version="1.0" encoding="utf-8"?>
<ds:datastoreItem xmlns:ds="http://schemas.openxmlformats.org/officeDocument/2006/customXml" ds:itemID="{FC09B254-1F2E-47EE-844F-3DAD0C3D42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cp:keywords/>
  <dc:description>© 2018-2019 Vertex42 LLC. All Rights Reserved.</dc:description>
  <cp:lastModifiedBy>FINNEY, SAM C. (Student)</cp:lastModifiedBy>
  <cp:revision/>
  <dcterms:created xsi:type="dcterms:W3CDTF">2017-01-09T18:01:51Z</dcterms:created>
  <dcterms:modified xsi:type="dcterms:W3CDTF">2025-12-10T11:44:17Z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ContentTypeId">
    <vt:lpwstr>0x010100C3FA6AAFA421B9418F78D257C3A7E55F</vt:lpwstr>
  </property>
  <property fmtid="{D5CDD505-2E9C-101B-9397-08002B2CF9AE}" pid="6" name="MediaServiceImageTags">
    <vt:lpwstr/>
  </property>
</Properties>
</file>